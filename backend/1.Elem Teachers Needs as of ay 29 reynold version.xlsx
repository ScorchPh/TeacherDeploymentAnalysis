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marites_limpangog_deped_gov_ph/Documents/Plotting for Teachers 2026/"/>
    </mc:Choice>
  </mc:AlternateContent>
  <xr:revisionPtr revIDLastSave="360" documentId="13_ncr:1_{59276FA5-EB96-4407-9199-4A7E60F67F22}" xr6:coauthVersionLast="47" xr6:coauthVersionMax="47" xr10:uidLastSave="{262945F9-3204-453B-BF73-0923A54BD749}"/>
  <bookViews>
    <workbookView xWindow="-108" yWindow="-108" windowWidth="23256" windowHeight="12456" activeTab="3" xr2:uid="{2DE522FD-F05C-4892-B5B5-D36D53418BDE}"/>
  </bookViews>
  <sheets>
    <sheet name="Elem_Needs_Updated" sheetId="1" r:id="rId1"/>
    <sheet name="Teachers" sheetId="4" r:id="rId2"/>
    <sheet name="Enrolment" sheetId="3" r:id="rId3"/>
    <sheet name="Elem_" sheetId="9" r:id="rId4"/>
    <sheet name="Transfer" sheetId="11" r:id="rId5"/>
  </sheets>
  <definedNames>
    <definedName name="_xlnm._FilterDatabase" localSheetId="3" hidden="1">Elem_!$AG$8:$AK$55</definedName>
    <definedName name="_xlnm._FilterDatabase" localSheetId="0" hidden="1">Elem_Needs_Updated!$U$8:$AG$53</definedName>
    <definedName name="_xlnm._FilterDatabase" localSheetId="4" hidden="1">Transfer!$A$3:$O$15</definedName>
    <definedName name="Elem">#REF!</definedName>
    <definedName name="Elem2">#REF!</definedName>
    <definedName name="_xlnm.Print_Area" localSheetId="3">Elem_!$A$1:$AX$55</definedName>
    <definedName name="_xlnm.Print_Area" localSheetId="0">Elem_Needs_Updated!$A$1:$AG$52</definedName>
    <definedName name="_xlnm.Print_Titles" localSheetId="3">Elem_!$1:$8</definedName>
    <definedName name="_xlnm.Print_Titles" localSheetId="0">Elem_Needs_Updated!$1:$8</definedName>
    <definedName name="PrivateSchoo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0" i="9" l="1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D30" i="9"/>
  <c r="BD31" i="9"/>
  <c r="BD32" i="9"/>
  <c r="BD33" i="9"/>
  <c r="BD34" i="9"/>
  <c r="BD35" i="9"/>
  <c r="BD36" i="9"/>
  <c r="BD37" i="9"/>
  <c r="BD38" i="9"/>
  <c r="BD39" i="9"/>
  <c r="BD40" i="9"/>
  <c r="BD41" i="9"/>
  <c r="BD42" i="9"/>
  <c r="BD43" i="9"/>
  <c r="BD44" i="9"/>
  <c r="BD45" i="9"/>
  <c r="BD46" i="9"/>
  <c r="BD47" i="9"/>
  <c r="BD48" i="9"/>
  <c r="BD49" i="9"/>
  <c r="BD50" i="9"/>
  <c r="BD51" i="9"/>
  <c r="BD52" i="9"/>
  <c r="BD53" i="9"/>
  <c r="BD54" i="9"/>
  <c r="BD9" i="9"/>
  <c r="BA42" i="9"/>
  <c r="BA55" i="9" s="1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A35" i="9"/>
  <c r="BA36" i="9"/>
  <c r="BA37" i="9"/>
  <c r="BA38" i="9"/>
  <c r="BA39" i="9"/>
  <c r="BA40" i="9"/>
  <c r="BA41" i="9"/>
  <c r="BA43" i="9"/>
  <c r="BA44" i="9"/>
  <c r="BA45" i="9"/>
  <c r="BA46" i="9"/>
  <c r="BA47" i="9"/>
  <c r="BA48" i="9"/>
  <c r="BA49" i="9"/>
  <c r="BA50" i="9"/>
  <c r="BA51" i="9"/>
  <c r="BA52" i="9"/>
  <c r="BA53" i="9"/>
  <c r="BA54" i="9"/>
  <c r="BA9" i="9"/>
  <c r="AZ55" i="9"/>
  <c r="AW50" i="9"/>
  <c r="AW54" i="9"/>
  <c r="AV50" i="9"/>
  <c r="AX50" i="9" s="1"/>
  <c r="AV54" i="9"/>
  <c r="AX54" i="9" s="1"/>
  <c r="AQ55" i="9"/>
  <c r="AT55" i="9"/>
  <c r="AU55" i="9"/>
  <c r="AH51" i="9"/>
  <c r="AG9" i="9"/>
  <c r="AI9" i="9" s="1"/>
  <c r="AH9" i="9"/>
  <c r="AL9" i="9"/>
  <c r="AG10" i="9"/>
  <c r="AH10" i="9"/>
  <c r="AL10" i="9"/>
  <c r="AG11" i="9"/>
  <c r="AH11" i="9"/>
  <c r="AL11" i="9"/>
  <c r="AG12" i="9"/>
  <c r="AH12" i="9"/>
  <c r="AL12" i="9"/>
  <c r="AG13" i="9"/>
  <c r="AH13" i="9"/>
  <c r="AL13" i="9"/>
  <c r="AG14" i="9"/>
  <c r="AH14" i="9"/>
  <c r="AL14" i="9"/>
  <c r="AG15" i="9"/>
  <c r="AH15" i="9"/>
  <c r="AL15" i="9"/>
  <c r="AG16" i="9"/>
  <c r="AH16" i="9"/>
  <c r="AL16" i="9"/>
  <c r="AG17" i="9"/>
  <c r="AH17" i="9"/>
  <c r="AL17" i="9"/>
  <c r="AG18" i="9"/>
  <c r="AH18" i="9"/>
  <c r="AL18" i="9"/>
  <c r="AG19" i="9"/>
  <c r="AH19" i="9"/>
  <c r="AL19" i="9"/>
  <c r="AG20" i="9"/>
  <c r="AH20" i="9"/>
  <c r="AL20" i="9"/>
  <c r="AG21" i="9"/>
  <c r="AH21" i="9"/>
  <c r="AL21" i="9"/>
  <c r="AG22" i="9"/>
  <c r="AH22" i="9"/>
  <c r="AL22" i="9"/>
  <c r="AG23" i="9"/>
  <c r="AH23" i="9"/>
  <c r="AL23" i="9"/>
  <c r="AG24" i="9"/>
  <c r="AH24" i="9"/>
  <c r="AL24" i="9"/>
  <c r="AG25" i="9"/>
  <c r="AH25" i="9"/>
  <c r="AL25" i="9"/>
  <c r="AG26" i="9"/>
  <c r="AH26" i="9"/>
  <c r="AL26" i="9"/>
  <c r="AG27" i="9"/>
  <c r="AH27" i="9"/>
  <c r="AL27" i="9"/>
  <c r="AG28" i="9"/>
  <c r="AH28" i="9"/>
  <c r="AL28" i="9"/>
  <c r="AG29" i="9"/>
  <c r="AH29" i="9"/>
  <c r="AL29" i="9"/>
  <c r="AG30" i="9"/>
  <c r="AH30" i="9"/>
  <c r="AL30" i="9"/>
  <c r="AG31" i="9"/>
  <c r="AH31" i="9"/>
  <c r="AL31" i="9"/>
  <c r="AG32" i="9"/>
  <c r="AH32" i="9"/>
  <c r="AL32" i="9"/>
  <c r="AG33" i="9"/>
  <c r="AH33" i="9"/>
  <c r="AL33" i="9"/>
  <c r="AG34" i="9"/>
  <c r="AH34" i="9"/>
  <c r="AL34" i="9"/>
  <c r="AG35" i="9"/>
  <c r="AH35" i="9"/>
  <c r="AL35" i="9"/>
  <c r="AG36" i="9"/>
  <c r="AH36" i="9"/>
  <c r="AL36" i="9"/>
  <c r="AG37" i="9"/>
  <c r="AH37" i="9"/>
  <c r="AL37" i="9"/>
  <c r="AG38" i="9"/>
  <c r="AH38" i="9"/>
  <c r="AL38" i="9"/>
  <c r="AG39" i="9"/>
  <c r="AH39" i="9"/>
  <c r="AL39" i="9"/>
  <c r="AG40" i="9"/>
  <c r="AH40" i="9"/>
  <c r="AL40" i="9"/>
  <c r="AG41" i="9"/>
  <c r="AH41" i="9"/>
  <c r="AL41" i="9"/>
  <c r="AG42" i="9"/>
  <c r="AH42" i="9"/>
  <c r="AL42" i="9"/>
  <c r="AG43" i="9"/>
  <c r="AH43" i="9"/>
  <c r="AL43" i="9"/>
  <c r="AG44" i="9"/>
  <c r="AH44" i="9"/>
  <c r="AL44" i="9"/>
  <c r="AG45" i="9"/>
  <c r="AH45" i="9"/>
  <c r="AL45" i="9"/>
  <c r="AG46" i="9"/>
  <c r="AH46" i="9"/>
  <c r="AL46" i="9"/>
  <c r="AG47" i="9"/>
  <c r="AH47" i="9"/>
  <c r="AL47" i="9"/>
  <c r="AG48" i="9"/>
  <c r="AH48" i="9"/>
  <c r="AL48" i="9"/>
  <c r="AG49" i="9"/>
  <c r="AH49" i="9"/>
  <c r="AL49" i="9"/>
  <c r="AG51" i="9"/>
  <c r="AL51" i="9"/>
  <c r="AG52" i="9"/>
  <c r="AH52" i="9"/>
  <c r="AL52" i="9"/>
  <c r="AG53" i="9"/>
  <c r="AH53" i="9"/>
  <c r="AL53" i="9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9" i="1"/>
  <c r="U10" i="1"/>
  <c r="V10" i="1"/>
  <c r="W10" i="1"/>
  <c r="X10" i="1"/>
  <c r="Y10" i="1"/>
  <c r="Z10" i="1"/>
  <c r="AA10" i="1"/>
  <c r="AB10" i="1"/>
  <c r="U11" i="1"/>
  <c r="V11" i="1"/>
  <c r="W11" i="1"/>
  <c r="X11" i="1"/>
  <c r="Y11" i="1"/>
  <c r="Z11" i="1"/>
  <c r="AA11" i="1"/>
  <c r="AB11" i="1"/>
  <c r="U12" i="1"/>
  <c r="V12" i="1"/>
  <c r="W12" i="1"/>
  <c r="X12" i="1"/>
  <c r="Y12" i="1"/>
  <c r="Z12" i="1"/>
  <c r="AA12" i="1"/>
  <c r="AB12" i="1"/>
  <c r="U13" i="1"/>
  <c r="V13" i="1"/>
  <c r="W13" i="1"/>
  <c r="X13" i="1"/>
  <c r="Y13" i="1"/>
  <c r="Z13" i="1"/>
  <c r="AA13" i="1"/>
  <c r="AB13" i="1"/>
  <c r="U14" i="1"/>
  <c r="V14" i="1"/>
  <c r="W14" i="1"/>
  <c r="X14" i="1"/>
  <c r="Y14" i="1"/>
  <c r="Z14" i="1"/>
  <c r="AA14" i="1"/>
  <c r="AB14" i="1"/>
  <c r="U15" i="1"/>
  <c r="V15" i="1"/>
  <c r="W15" i="1"/>
  <c r="X15" i="1"/>
  <c r="Y15" i="1"/>
  <c r="Z15" i="1"/>
  <c r="AA15" i="1"/>
  <c r="AB15" i="1"/>
  <c r="U16" i="1"/>
  <c r="V16" i="1"/>
  <c r="W16" i="1"/>
  <c r="X16" i="1"/>
  <c r="Y16" i="1"/>
  <c r="Z16" i="1"/>
  <c r="AA16" i="1"/>
  <c r="AB16" i="1"/>
  <c r="U17" i="1"/>
  <c r="V17" i="1"/>
  <c r="W17" i="1"/>
  <c r="X17" i="1"/>
  <c r="Y17" i="1"/>
  <c r="Z17" i="1"/>
  <c r="AA17" i="1"/>
  <c r="AB17" i="1"/>
  <c r="U18" i="1"/>
  <c r="V18" i="1"/>
  <c r="W18" i="1"/>
  <c r="X18" i="1"/>
  <c r="Y18" i="1"/>
  <c r="Z18" i="1"/>
  <c r="AA18" i="1"/>
  <c r="AB18" i="1"/>
  <c r="U19" i="1"/>
  <c r="V19" i="1"/>
  <c r="W19" i="1"/>
  <c r="X19" i="1"/>
  <c r="Y19" i="1"/>
  <c r="Z19" i="1"/>
  <c r="AA19" i="1"/>
  <c r="AB19" i="1"/>
  <c r="U20" i="1"/>
  <c r="V20" i="1"/>
  <c r="W20" i="1"/>
  <c r="X20" i="1"/>
  <c r="Y20" i="1"/>
  <c r="Z20" i="1"/>
  <c r="AA20" i="1"/>
  <c r="AB20" i="1"/>
  <c r="U21" i="1"/>
  <c r="V21" i="1"/>
  <c r="W21" i="1"/>
  <c r="X21" i="1"/>
  <c r="Y21" i="1"/>
  <c r="Z21" i="1"/>
  <c r="AA21" i="1"/>
  <c r="AB21" i="1"/>
  <c r="U22" i="1"/>
  <c r="V22" i="1"/>
  <c r="W22" i="1"/>
  <c r="X22" i="1"/>
  <c r="Y22" i="1"/>
  <c r="Z22" i="1"/>
  <c r="AA22" i="1"/>
  <c r="AB22" i="1"/>
  <c r="U23" i="1"/>
  <c r="V23" i="1"/>
  <c r="W23" i="1"/>
  <c r="X23" i="1"/>
  <c r="Y23" i="1"/>
  <c r="Z23" i="1"/>
  <c r="AA23" i="1"/>
  <c r="AB23" i="1"/>
  <c r="U24" i="1"/>
  <c r="V24" i="1"/>
  <c r="W24" i="1"/>
  <c r="X24" i="1"/>
  <c r="Y24" i="1"/>
  <c r="Z24" i="1"/>
  <c r="AA24" i="1"/>
  <c r="AB24" i="1"/>
  <c r="U25" i="1"/>
  <c r="V25" i="1"/>
  <c r="W25" i="1"/>
  <c r="X25" i="1"/>
  <c r="Y25" i="1"/>
  <c r="Z25" i="1"/>
  <c r="AA25" i="1"/>
  <c r="AB25" i="1"/>
  <c r="U26" i="1"/>
  <c r="V26" i="1"/>
  <c r="W26" i="1"/>
  <c r="X26" i="1"/>
  <c r="Y26" i="1"/>
  <c r="Z26" i="1"/>
  <c r="AA26" i="1"/>
  <c r="AB26" i="1"/>
  <c r="U27" i="1"/>
  <c r="V27" i="1"/>
  <c r="W27" i="1"/>
  <c r="X27" i="1"/>
  <c r="Y27" i="1"/>
  <c r="Z27" i="1"/>
  <c r="AA27" i="1"/>
  <c r="AB27" i="1"/>
  <c r="U28" i="1"/>
  <c r="V28" i="1"/>
  <c r="W28" i="1"/>
  <c r="X28" i="1"/>
  <c r="Y28" i="1"/>
  <c r="Z28" i="1"/>
  <c r="AA28" i="1"/>
  <c r="AB28" i="1"/>
  <c r="U29" i="1"/>
  <c r="V29" i="1"/>
  <c r="W29" i="1"/>
  <c r="X29" i="1"/>
  <c r="Y29" i="1"/>
  <c r="Z29" i="1"/>
  <c r="AA29" i="1"/>
  <c r="AB29" i="1"/>
  <c r="U30" i="1"/>
  <c r="V30" i="1"/>
  <c r="W30" i="1"/>
  <c r="X30" i="1"/>
  <c r="Y30" i="1"/>
  <c r="Z30" i="1"/>
  <c r="AA30" i="1"/>
  <c r="AB30" i="1"/>
  <c r="U31" i="1"/>
  <c r="V31" i="1"/>
  <c r="W31" i="1"/>
  <c r="X31" i="1"/>
  <c r="Y31" i="1"/>
  <c r="Z31" i="1"/>
  <c r="AA31" i="1"/>
  <c r="AB31" i="1"/>
  <c r="U32" i="1"/>
  <c r="V32" i="1"/>
  <c r="W32" i="1"/>
  <c r="X32" i="1"/>
  <c r="Y32" i="1"/>
  <c r="Z32" i="1"/>
  <c r="AA32" i="1"/>
  <c r="AB32" i="1"/>
  <c r="U33" i="1"/>
  <c r="V33" i="1"/>
  <c r="W33" i="1"/>
  <c r="X33" i="1"/>
  <c r="Y33" i="1"/>
  <c r="Z33" i="1"/>
  <c r="AA33" i="1"/>
  <c r="AB33" i="1"/>
  <c r="U34" i="1"/>
  <c r="V34" i="1"/>
  <c r="W34" i="1"/>
  <c r="X34" i="1"/>
  <c r="Y34" i="1"/>
  <c r="Z34" i="1"/>
  <c r="AA34" i="1"/>
  <c r="AB34" i="1"/>
  <c r="U35" i="1"/>
  <c r="V35" i="1"/>
  <c r="W35" i="1"/>
  <c r="X35" i="1"/>
  <c r="Y35" i="1"/>
  <c r="Z35" i="1"/>
  <c r="AA35" i="1"/>
  <c r="AB35" i="1"/>
  <c r="U36" i="1"/>
  <c r="V36" i="1"/>
  <c r="W36" i="1"/>
  <c r="X36" i="1"/>
  <c r="Y36" i="1"/>
  <c r="Z36" i="1"/>
  <c r="AA36" i="1"/>
  <c r="AB36" i="1"/>
  <c r="U37" i="1"/>
  <c r="V37" i="1"/>
  <c r="W37" i="1"/>
  <c r="X37" i="1"/>
  <c r="Y37" i="1"/>
  <c r="Z37" i="1"/>
  <c r="AA37" i="1"/>
  <c r="AB37" i="1"/>
  <c r="U38" i="1"/>
  <c r="V38" i="1"/>
  <c r="W38" i="1"/>
  <c r="X38" i="1"/>
  <c r="Y38" i="1"/>
  <c r="Z38" i="1"/>
  <c r="AA38" i="1"/>
  <c r="AB38" i="1"/>
  <c r="U39" i="1"/>
  <c r="V39" i="1"/>
  <c r="W39" i="1"/>
  <c r="X39" i="1"/>
  <c r="Y39" i="1"/>
  <c r="Z39" i="1"/>
  <c r="AA39" i="1"/>
  <c r="AB39" i="1"/>
  <c r="U40" i="1"/>
  <c r="V40" i="1"/>
  <c r="W40" i="1"/>
  <c r="X40" i="1"/>
  <c r="Y40" i="1"/>
  <c r="Z40" i="1"/>
  <c r="AA40" i="1"/>
  <c r="AB40" i="1"/>
  <c r="U41" i="1"/>
  <c r="V41" i="1"/>
  <c r="W41" i="1"/>
  <c r="X41" i="1"/>
  <c r="Y41" i="1"/>
  <c r="Z41" i="1"/>
  <c r="AA41" i="1"/>
  <c r="AB41" i="1"/>
  <c r="U42" i="1"/>
  <c r="V42" i="1"/>
  <c r="W42" i="1"/>
  <c r="X42" i="1"/>
  <c r="Y42" i="1"/>
  <c r="Z42" i="1"/>
  <c r="AA42" i="1"/>
  <c r="AB42" i="1"/>
  <c r="U43" i="1"/>
  <c r="V43" i="1"/>
  <c r="W43" i="1"/>
  <c r="X43" i="1"/>
  <c r="Y43" i="1"/>
  <c r="Z43" i="1"/>
  <c r="AA43" i="1"/>
  <c r="AB43" i="1"/>
  <c r="U44" i="1"/>
  <c r="V44" i="1"/>
  <c r="W44" i="1"/>
  <c r="X44" i="1"/>
  <c r="Y44" i="1"/>
  <c r="Z44" i="1"/>
  <c r="AA44" i="1"/>
  <c r="AB44" i="1"/>
  <c r="U45" i="1"/>
  <c r="V45" i="1"/>
  <c r="W45" i="1"/>
  <c r="X45" i="1"/>
  <c r="Y45" i="1"/>
  <c r="Z45" i="1"/>
  <c r="AA45" i="1"/>
  <c r="AB45" i="1"/>
  <c r="U46" i="1"/>
  <c r="V46" i="1"/>
  <c r="W46" i="1"/>
  <c r="X46" i="1"/>
  <c r="Y46" i="1"/>
  <c r="Z46" i="1"/>
  <c r="AA46" i="1"/>
  <c r="AB46" i="1"/>
  <c r="U47" i="1"/>
  <c r="V47" i="1"/>
  <c r="W47" i="1"/>
  <c r="X47" i="1"/>
  <c r="Y47" i="1"/>
  <c r="Z47" i="1"/>
  <c r="AA47" i="1"/>
  <c r="AB47" i="1"/>
  <c r="U48" i="1"/>
  <c r="V48" i="1"/>
  <c r="W48" i="1"/>
  <c r="X48" i="1"/>
  <c r="Y48" i="1"/>
  <c r="Z48" i="1"/>
  <c r="AA48" i="1"/>
  <c r="AB48" i="1"/>
  <c r="U49" i="1"/>
  <c r="V49" i="1"/>
  <c r="W49" i="1"/>
  <c r="X49" i="1"/>
  <c r="Y49" i="1"/>
  <c r="Z49" i="1"/>
  <c r="AA49" i="1"/>
  <c r="AB49" i="1"/>
  <c r="U50" i="1"/>
  <c r="V50" i="1"/>
  <c r="W50" i="1"/>
  <c r="X50" i="1"/>
  <c r="Y50" i="1"/>
  <c r="Z50" i="1"/>
  <c r="AA50" i="1"/>
  <c r="AB50" i="1"/>
  <c r="U51" i="1"/>
  <c r="V51" i="1"/>
  <c r="W51" i="1"/>
  <c r="X51" i="1"/>
  <c r="Y51" i="1"/>
  <c r="Z51" i="1"/>
  <c r="AA51" i="1"/>
  <c r="AB51" i="1"/>
  <c r="U52" i="1"/>
  <c r="V52" i="1"/>
  <c r="W52" i="1"/>
  <c r="X52" i="1"/>
  <c r="Y52" i="1"/>
  <c r="Z52" i="1"/>
  <c r="AA52" i="1"/>
  <c r="AB52" i="1"/>
  <c r="AB9" i="1"/>
  <c r="AA9" i="1"/>
  <c r="Z9" i="1"/>
  <c r="Y9" i="1"/>
  <c r="X9" i="1"/>
  <c r="W9" i="1"/>
  <c r="V9" i="1"/>
  <c r="U9" i="1"/>
  <c r="AI43" i="9" l="1"/>
  <c r="AI37" i="9"/>
  <c r="AI53" i="9"/>
  <c r="AI22" i="9"/>
  <c r="AI23" i="9"/>
  <c r="AI31" i="9"/>
  <c r="AI38" i="9"/>
  <c r="AI47" i="9"/>
  <c r="AI27" i="9"/>
  <c r="AI10" i="9"/>
  <c r="AI12" i="9"/>
  <c r="AI20" i="9"/>
  <c r="AI26" i="9"/>
  <c r="AI46" i="9"/>
  <c r="AI51" i="9"/>
  <c r="AI52" i="9"/>
  <c r="AI11" i="9"/>
  <c r="AI18" i="9"/>
  <c r="AI29" i="9"/>
  <c r="AI39" i="9"/>
  <c r="AI17" i="9"/>
  <c r="AI19" i="9"/>
  <c r="AI21" i="9"/>
  <c r="AI32" i="9"/>
  <c r="AI34" i="9"/>
  <c r="AI49" i="9"/>
  <c r="AI13" i="9"/>
  <c r="AI41" i="9"/>
  <c r="AI15" i="9"/>
  <c r="AI16" i="9"/>
  <c r="AI28" i="9"/>
  <c r="AI33" i="9"/>
  <c r="AI35" i="9"/>
  <c r="AI36" i="9"/>
  <c r="AI40" i="9"/>
  <c r="AI42" i="9"/>
  <c r="AI44" i="9"/>
  <c r="AI48" i="9"/>
  <c r="AI14" i="9"/>
  <c r="AI24" i="9"/>
  <c r="AI25" i="9"/>
  <c r="AI30" i="9"/>
  <c r="AI45" i="9"/>
  <c r="AD36" i="1"/>
  <c r="AC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9" i="1"/>
  <c r="AV42" i="9" l="1"/>
  <c r="AX42" i="9" s="1"/>
  <c r="AV52" i="9"/>
  <c r="AX52" i="9" s="1"/>
  <c r="AV40" i="9"/>
  <c r="AX40" i="9" s="1"/>
  <c r="AV51" i="9"/>
  <c r="AX51" i="9" s="1"/>
  <c r="AV36" i="9"/>
  <c r="AX36" i="9" s="1"/>
  <c r="AV46" i="9"/>
  <c r="AX46" i="9" s="1"/>
  <c r="AV35" i="9"/>
  <c r="AX35" i="9" s="1"/>
  <c r="AR26" i="9"/>
  <c r="AW26" i="9"/>
  <c r="AV26" i="9"/>
  <c r="AX26" i="9" s="1"/>
  <c r="AV33" i="9"/>
  <c r="AX33" i="9" s="1"/>
  <c r="AV20" i="9"/>
  <c r="AX20" i="9" s="1"/>
  <c r="AV28" i="9"/>
  <c r="AX28" i="9" s="1"/>
  <c r="AV12" i="9"/>
  <c r="AX12" i="9" s="1"/>
  <c r="AV16" i="9"/>
  <c r="AX16" i="9" s="1"/>
  <c r="AV10" i="9"/>
  <c r="AX10" i="9" s="1"/>
  <c r="AV15" i="9"/>
  <c r="AX15" i="9" s="1"/>
  <c r="AV27" i="9"/>
  <c r="AX27" i="9" s="1"/>
  <c r="AV41" i="9"/>
  <c r="AX41" i="9" s="1"/>
  <c r="AX47" i="9"/>
  <c r="AV13" i="9"/>
  <c r="AX13" i="9" s="1"/>
  <c r="AV38" i="9"/>
  <c r="AX38" i="9" s="1"/>
  <c r="AV49" i="9"/>
  <c r="AX49" i="9" s="1"/>
  <c r="AV31" i="9"/>
  <c r="AX31" i="9" s="1"/>
  <c r="AV34" i="9"/>
  <c r="AX34" i="9" s="1"/>
  <c r="AV23" i="9"/>
  <c r="AX23" i="9" s="1"/>
  <c r="AV32" i="9"/>
  <c r="AX32" i="9" s="1"/>
  <c r="AV22" i="9"/>
  <c r="AX22" i="9" s="1"/>
  <c r="AV45" i="9"/>
  <c r="AX45" i="9" s="1"/>
  <c r="AV21" i="9"/>
  <c r="AX21" i="9" s="1"/>
  <c r="AW21" i="9"/>
  <c r="AV53" i="9"/>
  <c r="AX53" i="9" s="1"/>
  <c r="AW30" i="9"/>
  <c r="AV30" i="9"/>
  <c r="AX30" i="9" s="1"/>
  <c r="AR19" i="9"/>
  <c r="AV19" i="9"/>
  <c r="AX19" i="9" s="1"/>
  <c r="AW19" i="9"/>
  <c r="AV37" i="9"/>
  <c r="AX37" i="9" s="1"/>
  <c r="AV25" i="9"/>
  <c r="AX25" i="9" s="1"/>
  <c r="AV17" i="9"/>
  <c r="AX17" i="9" s="1"/>
  <c r="AV43" i="9"/>
  <c r="AX43" i="9" s="1"/>
  <c r="AV24" i="9"/>
  <c r="AX24" i="9" s="1"/>
  <c r="AV39" i="9"/>
  <c r="AX39" i="9" s="1"/>
  <c r="AV14" i="9"/>
  <c r="AX14" i="9" s="1"/>
  <c r="AV29" i="9"/>
  <c r="AX29" i="9" s="1"/>
  <c r="AV48" i="9"/>
  <c r="AX48" i="9" s="1"/>
  <c r="AV18" i="9"/>
  <c r="AX18" i="9" s="1"/>
  <c r="AW18" i="9"/>
  <c r="AI55" i="9"/>
  <c r="AV44" i="9"/>
  <c r="AX44" i="9" s="1"/>
  <c r="AV11" i="9"/>
  <c r="AX11" i="9" s="1"/>
  <c r="AN25" i="9"/>
  <c r="AR25" i="9"/>
  <c r="AW25" i="9" s="1"/>
  <c r="AN14" i="9"/>
  <c r="AR14" i="9"/>
  <c r="AW14" i="9" s="1"/>
  <c r="AN44" i="9"/>
  <c r="AR44" i="9"/>
  <c r="AW44" i="9" s="1"/>
  <c r="AN52" i="9"/>
  <c r="AR52" i="9"/>
  <c r="AW52" i="9" s="1"/>
  <c r="AN38" i="9"/>
  <c r="AR38" i="9"/>
  <c r="AW38" i="9" s="1"/>
  <c r="AN18" i="9"/>
  <c r="AR18" i="9"/>
  <c r="AN42" i="9"/>
  <c r="AR42" i="9"/>
  <c r="AW42" i="9" s="1"/>
  <c r="AN36" i="9"/>
  <c r="AR36" i="9"/>
  <c r="AW36" i="9" s="1"/>
  <c r="AN26" i="9"/>
  <c r="AN15" i="9"/>
  <c r="AR15" i="9"/>
  <c r="AW15" i="9" s="1"/>
  <c r="AN47" i="9"/>
  <c r="AR47" i="9"/>
  <c r="AW47" i="9" s="1"/>
  <c r="AN34" i="9"/>
  <c r="AR34" i="9"/>
  <c r="AW34" i="9" s="1"/>
  <c r="AN31" i="9"/>
  <c r="AR31" i="9"/>
  <c r="AW31" i="9" s="1"/>
  <c r="AN32" i="9"/>
  <c r="AR32" i="9"/>
  <c r="AW32" i="9" s="1"/>
  <c r="AN23" i="9"/>
  <c r="AR23" i="9"/>
  <c r="AW23" i="9" s="1"/>
  <c r="AN39" i="9"/>
  <c r="AR39" i="9"/>
  <c r="AW39" i="9" s="1"/>
  <c r="AN48" i="9"/>
  <c r="AR48" i="9"/>
  <c r="AW48" i="9" s="1"/>
  <c r="AN46" i="9"/>
  <c r="AR46" i="9"/>
  <c r="AW46" i="9" s="1"/>
  <c r="AN33" i="9"/>
  <c r="AR33" i="9"/>
  <c r="AW33" i="9" s="1"/>
  <c r="AN20" i="9"/>
  <c r="AR20" i="9"/>
  <c r="AW20" i="9" s="1"/>
  <c r="AN16" i="9"/>
  <c r="AR16" i="9"/>
  <c r="AW16" i="9" s="1"/>
  <c r="AN10" i="9"/>
  <c r="AR10" i="9"/>
  <c r="AW10" i="9" s="1"/>
  <c r="AN41" i="9"/>
  <c r="AR41" i="9"/>
  <c r="AW41" i="9" s="1"/>
  <c r="AN13" i="9"/>
  <c r="AR13" i="9"/>
  <c r="AW13" i="9" s="1"/>
  <c r="AN49" i="9"/>
  <c r="AR49" i="9"/>
  <c r="AW49" i="9" s="1"/>
  <c r="AN45" i="9"/>
  <c r="AR45" i="9"/>
  <c r="AW45" i="9" s="1"/>
  <c r="AN21" i="9"/>
  <c r="AR21" i="9"/>
  <c r="AN22" i="9"/>
  <c r="AR22" i="9"/>
  <c r="AW22" i="9" s="1"/>
  <c r="AN24" i="9"/>
  <c r="AR24" i="9"/>
  <c r="AW24" i="9" s="1"/>
  <c r="AN29" i="9"/>
  <c r="AR29" i="9"/>
  <c r="AW29" i="9" s="1"/>
  <c r="AN11" i="9"/>
  <c r="AR11" i="9"/>
  <c r="AW11" i="9" s="1"/>
  <c r="AN40" i="9"/>
  <c r="AR40" i="9"/>
  <c r="AW40" i="9" s="1"/>
  <c r="AN35" i="9"/>
  <c r="AR35" i="9"/>
  <c r="AW35" i="9" s="1"/>
  <c r="AN28" i="9"/>
  <c r="AR28" i="9"/>
  <c r="AW28" i="9" s="1"/>
  <c r="AN12" i="9"/>
  <c r="AR12" i="9"/>
  <c r="AW12" i="9" s="1"/>
  <c r="AN27" i="9"/>
  <c r="AR27" i="9"/>
  <c r="AW27" i="9" s="1"/>
  <c r="AN30" i="9"/>
  <c r="AR30" i="9"/>
  <c r="AN19" i="9"/>
  <c r="AN53" i="9"/>
  <c r="AR53" i="9"/>
  <c r="AW53" i="9" s="1"/>
  <c r="AN17" i="9"/>
  <c r="AR17" i="9"/>
  <c r="AW17" i="9" s="1"/>
  <c r="AN37" i="9"/>
  <c r="AR37" i="9"/>
  <c r="AW37" i="9" s="1"/>
  <c r="AN43" i="9"/>
  <c r="AR43" i="9"/>
  <c r="AW43" i="9" s="1"/>
  <c r="AN51" i="9"/>
  <c r="AR51" i="9"/>
  <c r="AW51" i="9" s="1"/>
  <c r="J46" i="3"/>
  <c r="I46" i="3"/>
  <c r="H46" i="3"/>
  <c r="G46" i="3"/>
  <c r="F46" i="3"/>
  <c r="E46" i="3"/>
  <c r="C46" i="3"/>
  <c r="D46" i="3"/>
  <c r="AE9" i="1"/>
  <c r="K2" i="3" l="1"/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K35" i="3"/>
  <c r="I9" i="1"/>
  <c r="H9" i="1"/>
  <c r="G9" i="1"/>
  <c r="D9" i="1"/>
  <c r="J9" i="1"/>
  <c r="K9" i="1"/>
  <c r="K3" i="3"/>
  <c r="K4" i="3"/>
  <c r="K5" i="3"/>
  <c r="K6" i="3"/>
  <c r="K7" i="3"/>
  <c r="K8" i="3"/>
  <c r="K9" i="3"/>
  <c r="K12" i="3"/>
  <c r="K13" i="3"/>
  <c r="K14" i="3"/>
  <c r="K15" i="3"/>
  <c r="K16" i="3"/>
  <c r="K17" i="3"/>
  <c r="K18" i="3"/>
  <c r="K19" i="3"/>
  <c r="K20" i="3"/>
  <c r="K21" i="3"/>
  <c r="K24" i="3"/>
  <c r="K25" i="3"/>
  <c r="K26" i="3"/>
  <c r="K27" i="3"/>
  <c r="K28" i="3"/>
  <c r="K29" i="3"/>
  <c r="K30" i="3"/>
  <c r="K31" i="3"/>
  <c r="K32" i="3"/>
  <c r="K33" i="3"/>
  <c r="K36" i="3"/>
  <c r="K37" i="3"/>
  <c r="K38" i="3"/>
  <c r="K39" i="3"/>
  <c r="K40" i="3"/>
  <c r="K41" i="3"/>
  <c r="K42" i="3"/>
  <c r="K43" i="3"/>
  <c r="K44" i="3"/>
  <c r="K45" i="3"/>
  <c r="K23" i="3" l="1"/>
  <c r="K10" i="3"/>
  <c r="K34" i="3"/>
  <c r="K22" i="3"/>
  <c r="F9" i="1"/>
  <c r="O9" i="1" s="1"/>
  <c r="N45" i="1"/>
  <c r="E9" i="1"/>
  <c r="K11" i="3"/>
  <c r="M25" i="1"/>
  <c r="M33" i="1"/>
  <c r="M49" i="1"/>
  <c r="M52" i="1"/>
  <c r="S52" i="1"/>
  <c r="R52" i="1"/>
  <c r="P52" i="1"/>
  <c r="O52" i="1"/>
  <c r="N52" i="1"/>
  <c r="Q52" i="1"/>
  <c r="L52" i="1"/>
  <c r="S51" i="1"/>
  <c r="R51" i="1"/>
  <c r="P51" i="1"/>
  <c r="O51" i="1"/>
  <c r="M51" i="1"/>
  <c r="Q51" i="1"/>
  <c r="S50" i="1"/>
  <c r="R50" i="1"/>
  <c r="Q50" i="1"/>
  <c r="P50" i="1"/>
  <c r="M50" i="1"/>
  <c r="O50" i="1"/>
  <c r="N50" i="1"/>
  <c r="L50" i="1"/>
  <c r="S49" i="1"/>
  <c r="R49" i="1"/>
  <c r="Q49" i="1"/>
  <c r="P49" i="1"/>
  <c r="O49" i="1"/>
  <c r="N49" i="1"/>
  <c r="L49" i="1"/>
  <c r="S48" i="1"/>
  <c r="R48" i="1"/>
  <c r="Q48" i="1"/>
  <c r="P48" i="1"/>
  <c r="O48" i="1"/>
  <c r="M48" i="1"/>
  <c r="L48" i="1"/>
  <c r="R47" i="1"/>
  <c r="Q47" i="1"/>
  <c r="P47" i="1"/>
  <c r="O47" i="1"/>
  <c r="N47" i="1"/>
  <c r="M47" i="1"/>
  <c r="S47" i="1"/>
  <c r="L47" i="1"/>
  <c r="S46" i="1"/>
  <c r="R46" i="1"/>
  <c r="Q46" i="1"/>
  <c r="P46" i="1"/>
  <c r="O46" i="1"/>
  <c r="N46" i="1"/>
  <c r="L46" i="1"/>
  <c r="S45" i="1"/>
  <c r="R45" i="1"/>
  <c r="Q45" i="1"/>
  <c r="P45" i="1"/>
  <c r="O45" i="1"/>
  <c r="M45" i="1"/>
  <c r="L45" i="1"/>
  <c r="S44" i="1"/>
  <c r="R44" i="1"/>
  <c r="Q44" i="1"/>
  <c r="P44" i="1"/>
  <c r="O44" i="1"/>
  <c r="M44" i="1"/>
  <c r="L44" i="1"/>
  <c r="S43" i="1"/>
  <c r="R43" i="1"/>
  <c r="Q43" i="1"/>
  <c r="P43" i="1"/>
  <c r="O43" i="1"/>
  <c r="N43" i="1"/>
  <c r="L43" i="1"/>
  <c r="S42" i="1"/>
  <c r="R42" i="1"/>
  <c r="Q42" i="1"/>
  <c r="P42" i="1"/>
  <c r="O42" i="1"/>
  <c r="N42" i="1"/>
  <c r="M42" i="1"/>
  <c r="L42" i="1"/>
  <c r="S41" i="1"/>
  <c r="R41" i="1"/>
  <c r="Q41" i="1"/>
  <c r="N41" i="1"/>
  <c r="P41" i="1"/>
  <c r="O41" i="1"/>
  <c r="L41" i="1"/>
  <c r="S40" i="1"/>
  <c r="R40" i="1"/>
  <c r="Q40" i="1"/>
  <c r="P40" i="1"/>
  <c r="O40" i="1"/>
  <c r="M40" i="1"/>
  <c r="L40" i="1"/>
  <c r="S39" i="1"/>
  <c r="R39" i="1"/>
  <c r="Q39" i="1"/>
  <c r="P39" i="1"/>
  <c r="O39" i="1"/>
  <c r="N39" i="1"/>
  <c r="M39" i="1"/>
  <c r="L39" i="1"/>
  <c r="S38" i="1"/>
  <c r="R38" i="1"/>
  <c r="Q38" i="1"/>
  <c r="P38" i="1"/>
  <c r="O38" i="1"/>
  <c r="N38" i="1"/>
  <c r="M38" i="1"/>
  <c r="L38" i="1"/>
  <c r="S37" i="1"/>
  <c r="R37" i="1"/>
  <c r="Q37" i="1"/>
  <c r="P37" i="1"/>
  <c r="N37" i="1"/>
  <c r="M37" i="1"/>
  <c r="O37" i="1"/>
  <c r="L37" i="1"/>
  <c r="S36" i="1"/>
  <c r="R36" i="1"/>
  <c r="P36" i="1"/>
  <c r="O36" i="1"/>
  <c r="M36" i="1"/>
  <c r="Q36" i="1"/>
  <c r="L36" i="1"/>
  <c r="S35" i="1"/>
  <c r="R35" i="1"/>
  <c r="Q35" i="1"/>
  <c r="P35" i="1"/>
  <c r="O35" i="1"/>
  <c r="N35" i="1"/>
  <c r="L35" i="1"/>
  <c r="S34" i="1"/>
  <c r="R34" i="1"/>
  <c r="Q34" i="1"/>
  <c r="P34" i="1"/>
  <c r="O34" i="1"/>
  <c r="N34" i="1"/>
  <c r="L34" i="1"/>
  <c r="S33" i="1"/>
  <c r="R33" i="1"/>
  <c r="Q33" i="1"/>
  <c r="P33" i="1"/>
  <c r="N33" i="1"/>
  <c r="O33" i="1"/>
  <c r="L33" i="1"/>
  <c r="S32" i="1"/>
  <c r="R32" i="1"/>
  <c r="Q32" i="1"/>
  <c r="P32" i="1"/>
  <c r="O32" i="1"/>
  <c r="M32" i="1"/>
  <c r="L32" i="1"/>
  <c r="S31" i="1"/>
  <c r="R31" i="1"/>
  <c r="Q31" i="1"/>
  <c r="P31" i="1"/>
  <c r="O31" i="1"/>
  <c r="M31" i="1"/>
  <c r="S30" i="1"/>
  <c r="R30" i="1"/>
  <c r="Q30" i="1"/>
  <c r="P30" i="1"/>
  <c r="O30" i="1"/>
  <c r="N30" i="1"/>
  <c r="M30" i="1"/>
  <c r="L30" i="1"/>
  <c r="S29" i="1"/>
  <c r="R29" i="1"/>
  <c r="Q29" i="1"/>
  <c r="P29" i="1"/>
  <c r="O29" i="1"/>
  <c r="N29" i="1"/>
  <c r="M29" i="1"/>
  <c r="L29" i="1"/>
  <c r="S28" i="1"/>
  <c r="R28" i="1"/>
  <c r="Q28" i="1"/>
  <c r="P28" i="1"/>
  <c r="N28" i="1"/>
  <c r="O28" i="1"/>
  <c r="L28" i="1"/>
  <c r="S27" i="1"/>
  <c r="R27" i="1"/>
  <c r="Q27" i="1"/>
  <c r="P27" i="1"/>
  <c r="O27" i="1"/>
  <c r="N27" i="1"/>
  <c r="L27" i="1"/>
  <c r="S26" i="1"/>
  <c r="R26" i="1"/>
  <c r="Q26" i="1"/>
  <c r="P26" i="1"/>
  <c r="O26" i="1"/>
  <c r="N26" i="1"/>
  <c r="L26" i="1"/>
  <c r="S25" i="1"/>
  <c r="R25" i="1"/>
  <c r="Q25" i="1"/>
  <c r="P25" i="1"/>
  <c r="O25" i="1"/>
  <c r="N25" i="1"/>
  <c r="L25" i="1"/>
  <c r="S24" i="1"/>
  <c r="R24" i="1"/>
  <c r="Q24" i="1"/>
  <c r="O24" i="1"/>
  <c r="P24" i="1"/>
  <c r="S23" i="1"/>
  <c r="R23" i="1"/>
  <c r="Q23" i="1"/>
  <c r="P23" i="1"/>
  <c r="O23" i="1"/>
  <c r="N23" i="1"/>
  <c r="L23" i="1"/>
  <c r="S22" i="1"/>
  <c r="R22" i="1"/>
  <c r="Q22" i="1"/>
  <c r="P22" i="1"/>
  <c r="O22" i="1"/>
  <c r="N22" i="1"/>
  <c r="L22" i="1"/>
  <c r="S21" i="1"/>
  <c r="R21" i="1"/>
  <c r="Q21" i="1"/>
  <c r="P21" i="1"/>
  <c r="O21" i="1"/>
  <c r="N21" i="1"/>
  <c r="M21" i="1"/>
  <c r="L21" i="1"/>
  <c r="S20" i="1"/>
  <c r="R20" i="1"/>
  <c r="Q20" i="1"/>
  <c r="P20" i="1"/>
  <c r="O20" i="1"/>
  <c r="N20" i="1"/>
  <c r="M20" i="1"/>
  <c r="L20" i="1"/>
  <c r="S19" i="1"/>
  <c r="R19" i="1"/>
  <c r="Q19" i="1"/>
  <c r="P19" i="1"/>
  <c r="O19" i="1"/>
  <c r="N19" i="1"/>
  <c r="M19" i="1"/>
  <c r="L19" i="1"/>
  <c r="S18" i="1"/>
  <c r="R18" i="1"/>
  <c r="Q18" i="1"/>
  <c r="P18" i="1"/>
  <c r="O18" i="1"/>
  <c r="N18" i="1"/>
  <c r="M18" i="1"/>
  <c r="L18" i="1"/>
  <c r="S17" i="1"/>
  <c r="R17" i="1"/>
  <c r="Q17" i="1"/>
  <c r="P17" i="1"/>
  <c r="O17" i="1"/>
  <c r="N17" i="1"/>
  <c r="L17" i="1"/>
  <c r="S16" i="1"/>
  <c r="R16" i="1"/>
  <c r="Q16" i="1"/>
  <c r="P16" i="1"/>
  <c r="O16" i="1"/>
  <c r="L16" i="1"/>
  <c r="S15" i="1"/>
  <c r="R15" i="1"/>
  <c r="Q15" i="1"/>
  <c r="P15" i="1"/>
  <c r="O15" i="1"/>
  <c r="N15" i="1"/>
  <c r="M15" i="1"/>
  <c r="L15" i="1"/>
  <c r="S14" i="1"/>
  <c r="R14" i="1"/>
  <c r="Q14" i="1"/>
  <c r="P14" i="1"/>
  <c r="O14" i="1"/>
  <c r="N14" i="1"/>
  <c r="M14" i="1"/>
  <c r="L14" i="1"/>
  <c r="S13" i="1"/>
  <c r="R13" i="1"/>
  <c r="Q13" i="1"/>
  <c r="O13" i="1"/>
  <c r="N13" i="1"/>
  <c r="P13" i="1"/>
  <c r="L13" i="1"/>
  <c r="S12" i="1"/>
  <c r="R12" i="1"/>
  <c r="Q12" i="1"/>
  <c r="P12" i="1"/>
  <c r="O12" i="1"/>
  <c r="N12" i="1"/>
  <c r="L12" i="1"/>
  <c r="S11" i="1"/>
  <c r="R11" i="1"/>
  <c r="Q11" i="1"/>
  <c r="P11" i="1"/>
  <c r="O11" i="1"/>
  <c r="N11" i="1"/>
  <c r="M11" i="1"/>
  <c r="L11" i="1"/>
  <c r="S10" i="1"/>
  <c r="R10" i="1"/>
  <c r="P10" i="1"/>
  <c r="O10" i="1"/>
  <c r="N10" i="1"/>
  <c r="M10" i="1"/>
  <c r="Q10" i="1"/>
  <c r="L10" i="1"/>
  <c r="R9" i="1"/>
  <c r="Q9" i="1"/>
  <c r="P9" i="1"/>
  <c r="M9" i="1" l="1"/>
  <c r="K46" i="3"/>
  <c r="L9" i="1"/>
  <c r="L24" i="1"/>
  <c r="N24" i="1"/>
  <c r="L31" i="1"/>
  <c r="N31" i="1"/>
  <c r="T31" i="1" s="1"/>
  <c r="L51" i="1"/>
  <c r="N51" i="1"/>
  <c r="T51" i="1" s="1"/>
  <c r="S9" i="1"/>
  <c r="AE10" i="1"/>
  <c r="AE37" i="1"/>
  <c r="AE33" i="1"/>
  <c r="AE25" i="1"/>
  <c r="AE49" i="1"/>
  <c r="AE41" i="1"/>
  <c r="AE17" i="1"/>
  <c r="AE48" i="1"/>
  <c r="AE40" i="1"/>
  <c r="AE32" i="1"/>
  <c r="AE24" i="1"/>
  <c r="AE16" i="1"/>
  <c r="AE47" i="1"/>
  <c r="AE31" i="1"/>
  <c r="AE15" i="1"/>
  <c r="AE46" i="1"/>
  <c r="AE38" i="1"/>
  <c r="AE30" i="1"/>
  <c r="AE22" i="1"/>
  <c r="AE14" i="1"/>
  <c r="AE39" i="1"/>
  <c r="AE23" i="1"/>
  <c r="AE45" i="1"/>
  <c r="AE29" i="1"/>
  <c r="AE21" i="1"/>
  <c r="AE13" i="1"/>
  <c r="AE52" i="1"/>
  <c r="AE44" i="1"/>
  <c r="AE36" i="1"/>
  <c r="AE28" i="1"/>
  <c r="AE20" i="1"/>
  <c r="AE12" i="1"/>
  <c r="AE51" i="1"/>
  <c r="AE43" i="1"/>
  <c r="AE35" i="1"/>
  <c r="AE27" i="1"/>
  <c r="AE19" i="1"/>
  <c r="AE11" i="1"/>
  <c r="AE50" i="1"/>
  <c r="AE42" i="1"/>
  <c r="AE34" i="1"/>
  <c r="AE26" i="1"/>
  <c r="AE18" i="1"/>
  <c r="AC34" i="1"/>
  <c r="AC22" i="1"/>
  <c r="AC13" i="1"/>
  <c r="AC26" i="1"/>
  <c r="AC46" i="1"/>
  <c r="T25" i="1"/>
  <c r="T45" i="1"/>
  <c r="T50" i="1"/>
  <c r="M13" i="1"/>
  <c r="T13" i="1" s="1"/>
  <c r="AC24" i="1"/>
  <c r="AC28" i="1"/>
  <c r="AC44" i="1"/>
  <c r="AC11" i="1"/>
  <c r="T18" i="1"/>
  <c r="T39" i="1"/>
  <c r="AC43" i="1"/>
  <c r="AC48" i="1"/>
  <c r="AC16" i="1"/>
  <c r="M12" i="1"/>
  <c r="T12" i="1" s="1"/>
  <c r="M16" i="1"/>
  <c r="AC19" i="1"/>
  <c r="AC23" i="1"/>
  <c r="AC27" i="1"/>
  <c r="AC35" i="1"/>
  <c r="T38" i="1"/>
  <c r="T42" i="1"/>
  <c r="T49" i="1"/>
  <c r="AC52" i="1"/>
  <c r="AC10" i="1"/>
  <c r="AC14" i="1"/>
  <c r="AC18" i="1"/>
  <c r="T19" i="1"/>
  <c r="M24" i="1"/>
  <c r="M28" i="1"/>
  <c r="T28" i="1" s="1"/>
  <c r="AC30" i="1"/>
  <c r="AC38" i="1"/>
  <c r="AC42" i="1"/>
  <c r="T47" i="1"/>
  <c r="T10" i="1"/>
  <c r="M22" i="1"/>
  <c r="T22" i="1" s="1"/>
  <c r="M34" i="1"/>
  <c r="T34" i="1" s="1"/>
  <c r="AC40" i="1"/>
  <c r="AC50" i="1"/>
  <c r="AC51" i="1"/>
  <c r="M17" i="1"/>
  <c r="T17" i="1" s="1"/>
  <c r="AC20" i="1"/>
  <c r="M26" i="1"/>
  <c r="T26" i="1" s="1"/>
  <c r="AC32" i="1"/>
  <c r="AC36" i="1"/>
  <c r="M41" i="1"/>
  <c r="T41" i="1" s="1"/>
  <c r="M46" i="1"/>
  <c r="T46" i="1" s="1"/>
  <c r="T33" i="1"/>
  <c r="T11" i="1"/>
  <c r="T52" i="1"/>
  <c r="T14" i="1"/>
  <c r="T21" i="1"/>
  <c r="T15" i="1"/>
  <c r="T20" i="1"/>
  <c r="T29" i="1"/>
  <c r="T37" i="1"/>
  <c r="T30" i="1"/>
  <c r="N32" i="1"/>
  <c r="T32" i="1" s="1"/>
  <c r="N36" i="1"/>
  <c r="T36" i="1" s="1"/>
  <c r="N44" i="1"/>
  <c r="T44" i="1" s="1"/>
  <c r="AC15" i="1"/>
  <c r="M23" i="1"/>
  <c r="T23" i="1" s="1"/>
  <c r="AC39" i="1"/>
  <c r="M43" i="1"/>
  <c r="T43" i="1" s="1"/>
  <c r="AC31" i="1"/>
  <c r="N16" i="1"/>
  <c r="N48" i="1"/>
  <c r="T48" i="1" s="1"/>
  <c r="M27" i="1"/>
  <c r="T27" i="1" s="1"/>
  <c r="M35" i="1"/>
  <c r="T35" i="1" s="1"/>
  <c r="AC47" i="1"/>
  <c r="AC12" i="1"/>
  <c r="AC17" i="1"/>
  <c r="AC21" i="1"/>
  <c r="AC25" i="1"/>
  <c r="AC29" i="1"/>
  <c r="AC33" i="1"/>
  <c r="AC37" i="1"/>
  <c r="AC41" i="1"/>
  <c r="AC45" i="1"/>
  <c r="AC49" i="1"/>
  <c r="N40" i="1"/>
  <c r="T40" i="1" s="1"/>
  <c r="T24" i="1" l="1"/>
  <c r="N9" i="1"/>
  <c r="T9" i="1" s="1"/>
  <c r="T16" i="1"/>
  <c r="AJ55" i="9" l="1"/>
  <c r="AK1" i="9"/>
  <c r="AR9" i="9"/>
  <c r="AO8" i="9"/>
  <c r="AN9" i="9"/>
  <c r="AN55" i="9" s="1"/>
  <c r="AV9" i="9"/>
  <c r="AX9" i="9" l="1"/>
  <c r="AX55" i="9" s="1"/>
  <c r="AV55" i="9"/>
  <c r="AX7" i="9" s="1"/>
  <c r="AR55" i="9"/>
  <c r="AW9" i="9"/>
  <c r="AR7" i="9"/>
</calcChain>
</file>

<file path=xl/sharedStrings.xml><?xml version="1.0" encoding="utf-8"?>
<sst xmlns="http://schemas.openxmlformats.org/spreadsheetml/2006/main" count="421" uniqueCount="208">
  <si>
    <t>50-60</t>
  </si>
  <si>
    <t>30-35</t>
  </si>
  <si>
    <t>40-45</t>
  </si>
  <si>
    <t>School</t>
  </si>
  <si>
    <t>Elementary School</t>
  </si>
  <si>
    <t>District</t>
  </si>
  <si>
    <t>Class Size</t>
  </si>
  <si>
    <t>Number of Sections/Classes</t>
  </si>
  <si>
    <t>K</t>
  </si>
  <si>
    <t>G1</t>
  </si>
  <si>
    <t>G2</t>
  </si>
  <si>
    <t>G3</t>
  </si>
  <si>
    <t>G4</t>
  </si>
  <si>
    <t>G5</t>
  </si>
  <si>
    <t>G6</t>
  </si>
  <si>
    <t>NG</t>
  </si>
  <si>
    <t>TOTAL</t>
  </si>
  <si>
    <t>Required</t>
  </si>
  <si>
    <t>Existing</t>
  </si>
  <si>
    <t>GAP</t>
  </si>
  <si>
    <t>Buaya ES</t>
  </si>
  <si>
    <t>Babag II ES</t>
  </si>
  <si>
    <t>Bagong Silang ES</t>
  </si>
  <si>
    <t>Basak ES</t>
  </si>
  <si>
    <t>Maribago ES</t>
  </si>
  <si>
    <t>Babag I ES</t>
  </si>
  <si>
    <t>Sudtonggan ES</t>
  </si>
  <si>
    <t>Pajo ES</t>
  </si>
  <si>
    <t>Abuno ES</t>
  </si>
  <si>
    <t>Talima ES</t>
  </si>
  <si>
    <t>Pusok ES</t>
  </si>
  <si>
    <t>Bankal ES</t>
  </si>
  <si>
    <t>Suba-Masulog ES</t>
  </si>
  <si>
    <t>Agus ES</t>
  </si>
  <si>
    <t>Buyong ES</t>
  </si>
  <si>
    <t>Sta. Rosa ES</t>
  </si>
  <si>
    <t>Sabang ES</t>
  </si>
  <si>
    <t>Timpolok ES</t>
  </si>
  <si>
    <t>Pajac ES</t>
  </si>
  <si>
    <t>FFMM ES</t>
  </si>
  <si>
    <t>Tiangue ES</t>
  </si>
  <si>
    <t>Candagsao ES</t>
  </si>
  <si>
    <t>Soong ES</t>
  </si>
  <si>
    <t>Punta Engaño ES</t>
  </si>
  <si>
    <t>Lo-ok ES</t>
  </si>
  <si>
    <t>Poo ES</t>
  </si>
  <si>
    <t>STEC ES</t>
  </si>
  <si>
    <t>Pangan-an ES</t>
  </si>
  <si>
    <t>Caohagan IS</t>
  </si>
  <si>
    <t>Marigondon ES</t>
  </si>
  <si>
    <t>Ibo ES</t>
  </si>
  <si>
    <t>Tungasan ES</t>
  </si>
  <si>
    <t>Suba ES</t>
  </si>
  <si>
    <t>Kalawisan ES</t>
  </si>
  <si>
    <t>Poblacion ES</t>
  </si>
  <si>
    <t>Subabasbas ES</t>
  </si>
  <si>
    <t>Mactan ES</t>
  </si>
  <si>
    <t>Caw-oy ES</t>
  </si>
  <si>
    <t>Canjulao ES</t>
  </si>
  <si>
    <t>Baring ES</t>
  </si>
  <si>
    <t>Tingo ES</t>
  </si>
  <si>
    <t>Gun-ob ES</t>
  </si>
  <si>
    <t>Mactan Air Base ES</t>
  </si>
  <si>
    <t>Lapu-Lapu City CES</t>
  </si>
  <si>
    <t>Kinder</t>
  </si>
  <si>
    <t>Grade 1</t>
  </si>
  <si>
    <t>Grade 2</t>
  </si>
  <si>
    <t>Grade 3</t>
  </si>
  <si>
    <t>Grade 4</t>
  </si>
  <si>
    <t>Grade 5</t>
  </si>
  <si>
    <t>Grade 6</t>
  </si>
  <si>
    <t>Grand Total</t>
  </si>
  <si>
    <t>Non-Graded</t>
  </si>
  <si>
    <t>SCHOOLID</t>
  </si>
  <si>
    <t>Name of School</t>
  </si>
  <si>
    <t>No. of Teachers</t>
  </si>
  <si>
    <t>UPDATED TEACHERS' NEEDS FOR SY 2025-2026</t>
  </si>
  <si>
    <t>Abuno Elementary School</t>
  </si>
  <si>
    <t>Agus Elementary School</t>
  </si>
  <si>
    <t>Babag I Elementary School</t>
  </si>
  <si>
    <t>Babag II Elementary School</t>
  </si>
  <si>
    <t>Bagong Silang Elementary School</t>
  </si>
  <si>
    <t>Bankal Elementary School</t>
  </si>
  <si>
    <t>Baring Elementary School</t>
  </si>
  <si>
    <t>Basak Elementary School</t>
  </si>
  <si>
    <t>Buaya Elementary School</t>
  </si>
  <si>
    <t>Buyong Elementary School</t>
  </si>
  <si>
    <t>Candagsao Elementary School</t>
  </si>
  <si>
    <t>Canjulao Elementary School</t>
  </si>
  <si>
    <t>Caohagan Integrated School</t>
  </si>
  <si>
    <t>Caw-oy Elementary School</t>
  </si>
  <si>
    <t>Felipe F. Matbagon Memorial Elementary School</t>
  </si>
  <si>
    <t>Gun-ob Elementary School</t>
  </si>
  <si>
    <t>Ibo Elementary School</t>
  </si>
  <si>
    <t>Kalawisan Elementary School</t>
  </si>
  <si>
    <t>Lapu-Lapu City Central Elementary School</t>
  </si>
  <si>
    <t>Look Elementary School</t>
  </si>
  <si>
    <t>Mactan Air Base Elementary School</t>
  </si>
  <si>
    <t>Mactan Elementary School</t>
  </si>
  <si>
    <t>Maribago Elementary School</t>
  </si>
  <si>
    <t>Marigondon Elementary School</t>
  </si>
  <si>
    <t>Pajac Elementary School</t>
  </si>
  <si>
    <t>Pajo Elementary School</t>
  </si>
  <si>
    <t>Pangan-an Elementary School</t>
  </si>
  <si>
    <t>Poblacion Elementary School</t>
  </si>
  <si>
    <t>Poo Elementary School</t>
  </si>
  <si>
    <t>Punta Engaño Elementary School</t>
  </si>
  <si>
    <t>Pusok Elementary School</t>
  </si>
  <si>
    <t>Sabang Elementary School</t>
  </si>
  <si>
    <t>Science and Technology Education Center - Science and Technology Elementary School</t>
  </si>
  <si>
    <t>Soong Elementary School</t>
  </si>
  <si>
    <t>Sta. Rosa Elementary School</t>
  </si>
  <si>
    <t>Suba Basbas Elementary School</t>
  </si>
  <si>
    <t>Suba Elementary School</t>
  </si>
  <si>
    <t>Suba Masulog Elementary School</t>
  </si>
  <si>
    <t>Sudtonggan Elementary School</t>
  </si>
  <si>
    <t>Talima Elementary School</t>
  </si>
  <si>
    <t>Tiangue Elementary School</t>
  </si>
  <si>
    <t>Timpolok Elementary School</t>
  </si>
  <si>
    <t>Tingo Elementary School</t>
  </si>
  <si>
    <t>Tungasan Elementary School</t>
  </si>
  <si>
    <t>Note: Data on number of teachers was based from the HRIS Data c/o Sir Joel Ongco</t>
  </si>
  <si>
    <t>Note:</t>
  </si>
  <si>
    <t>SY 25-26</t>
  </si>
  <si>
    <t>Data of the Enrollment was based on the LIS system as of May 21, 2026.</t>
  </si>
  <si>
    <t>Enrolment (SY 2025-2026)-as of May 21, 2026</t>
  </si>
  <si>
    <t>Teachers as of  May  2026</t>
  </si>
  <si>
    <t>as of May  2026</t>
  </si>
  <si>
    <t>No.</t>
  </si>
  <si>
    <t>Name of Applicant</t>
  </si>
  <si>
    <t>Current Position</t>
  </si>
  <si>
    <t>Home Address</t>
  </si>
  <si>
    <t>Last Name</t>
  </si>
  <si>
    <t>First Name</t>
  </si>
  <si>
    <t>MiddleName</t>
  </si>
  <si>
    <t>Vergara</t>
  </si>
  <si>
    <t>Joseph</t>
  </si>
  <si>
    <t>Romarate</t>
  </si>
  <si>
    <t>TEACHER III</t>
  </si>
  <si>
    <t>Commonwealth Brgy. Ibo, LLC</t>
  </si>
  <si>
    <t>Fortuna</t>
  </si>
  <si>
    <t>Genia</t>
  </si>
  <si>
    <t>Lozano</t>
  </si>
  <si>
    <t>Ticgahon, Bankal LLC</t>
  </si>
  <si>
    <t>Igar</t>
  </si>
  <si>
    <t>Maria Joy</t>
  </si>
  <si>
    <t>Aclag</t>
  </si>
  <si>
    <t>Pusok, LL(</t>
  </si>
  <si>
    <t>Alinsub</t>
  </si>
  <si>
    <t>Fernil</t>
  </si>
  <si>
    <t>Maglasang</t>
  </si>
  <si>
    <t>BF Country Homes, Pajac LLC</t>
  </si>
  <si>
    <t>Ardines</t>
  </si>
  <si>
    <t>Jeizel</t>
  </si>
  <si>
    <t>Tumulak</t>
  </si>
  <si>
    <t>Cordova</t>
  </si>
  <si>
    <t>Sarco</t>
  </si>
  <si>
    <t>Sheila Mae</t>
  </si>
  <si>
    <t>Masangcay</t>
  </si>
  <si>
    <t>TEACHER I</t>
  </si>
  <si>
    <t>Lo-oc, LLC</t>
  </si>
  <si>
    <t>Felisilda</t>
  </si>
  <si>
    <t>Jezel Mae</t>
  </si>
  <si>
    <t>Gun-ob, Kinalumsan</t>
  </si>
  <si>
    <t>Marañon</t>
  </si>
  <si>
    <t>Gester Mae</t>
  </si>
  <si>
    <t>Benlot</t>
  </si>
  <si>
    <t>Aquino</t>
  </si>
  <si>
    <t>Luida</t>
  </si>
  <si>
    <t>Ocaba</t>
  </si>
  <si>
    <t>San Miguel, Cordova</t>
  </si>
  <si>
    <t>Francisco</t>
  </si>
  <si>
    <t>Mercedita</t>
  </si>
  <si>
    <t>Luna</t>
  </si>
  <si>
    <t>Calawisan, LLC</t>
  </si>
  <si>
    <t>Suico</t>
  </si>
  <si>
    <t>Maria Endie</t>
  </si>
  <si>
    <t>Alegrado</t>
  </si>
  <si>
    <t>Tagsip</t>
  </si>
  <si>
    <t>Crestelia</t>
  </si>
  <si>
    <t>Ricafort</t>
  </si>
  <si>
    <t>TEACHER 1</t>
  </si>
  <si>
    <t>T-In</t>
  </si>
  <si>
    <t>T-Out</t>
  </si>
  <si>
    <t>Needs</t>
  </si>
  <si>
    <t>Deployment</t>
  </si>
  <si>
    <t>Applied (T In)</t>
  </si>
  <si>
    <t>TRANSFER ELEM</t>
  </si>
  <si>
    <t>delployment 50 items</t>
  </si>
  <si>
    <t>final allocation</t>
  </si>
  <si>
    <t>for review</t>
  </si>
  <si>
    <t>transferred in 1</t>
  </si>
  <si>
    <t>transferred out 1</t>
  </si>
  <si>
    <t>ransferred out 1</t>
  </si>
  <si>
    <t>ofr 48 item only</t>
  </si>
  <si>
    <t>Transfers</t>
  </si>
  <si>
    <t>Allocation</t>
  </si>
  <si>
    <t xml:space="preserve">transferred out 1 </t>
  </si>
  <si>
    <t xml:space="preserve">transferred out 2 </t>
  </si>
  <si>
    <t>transferred in 2</t>
  </si>
  <si>
    <t xml:space="preserve">transferred in 1 </t>
  </si>
  <si>
    <t>Needs (after the deployment)</t>
  </si>
  <si>
    <t xml:space="preserve">                                                                                                  </t>
  </si>
  <si>
    <t xml:space="preserve">UPDATED TEACHER'S NEED ANALYSIS </t>
  </si>
  <si>
    <t>As of 08/05/2026</t>
  </si>
  <si>
    <t>transfer in</t>
  </si>
  <si>
    <t xml:space="preserve"> As of 09/1/2026</t>
  </si>
  <si>
    <t>As of 10/14/2026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</si>
</sst>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color rgb="FFFF0000"/>
      <name val="Bookman Old Style"/>
      <family val="1"/>
    </font>
    <font>
      <sz val="11"/>
      <color theme="1"/>
      <name val="Calibr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0">
    <xf numFmtId="0" fontId="0" fillId="0" borderId="0" xfId="0"/>
    <xf numFmtId="0" fontId="3" fillId="0" borderId="0" xfId="1"/>
    <xf numFmtId="0" fontId="6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3" fontId="9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3" fontId="6" fillId="0" borderId="1" xfId="1" applyNumberFormat="1" applyFont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/>
    <xf numFmtId="0" fontId="3" fillId="0" borderId="1" xfId="1" applyBorder="1"/>
    <xf numFmtId="0" fontId="7" fillId="0" borderId="0" xfId="1" applyFont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right"/>
    </xf>
    <xf numFmtId="0" fontId="11" fillId="0" borderId="0" xfId="0" applyFont="1"/>
    <xf numFmtId="0" fontId="12" fillId="5" borderId="0" xfId="0" applyFont="1" applyFill="1"/>
    <xf numFmtId="0" fontId="13" fillId="5" borderId="0" xfId="0" applyFont="1" applyFill="1" applyAlignment="1">
      <alignment horizontal="right"/>
    </xf>
    <xf numFmtId="0" fontId="13" fillId="5" borderId="0" xfId="0" applyFont="1" applyFill="1"/>
    <xf numFmtId="0" fontId="0" fillId="0" borderId="0" xfId="0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left" vertical="center" wrapText="1"/>
    </xf>
    <xf numFmtId="1" fontId="3" fillId="0" borderId="0" xfId="1" applyNumberFormat="1" applyAlignment="1">
      <alignment horizontal="center" vertical="center"/>
    </xf>
    <xf numFmtId="1" fontId="3" fillId="0" borderId="0" xfId="1" applyNumberFormat="1"/>
    <xf numFmtId="1" fontId="3" fillId="0" borderId="1" xfId="1" applyNumberFormat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0" xfId="1" applyAlignment="1">
      <alignment horizontal="center" vertical="center"/>
    </xf>
    <xf numFmtId="0" fontId="3" fillId="6" borderId="1" xfId="1" applyFill="1" applyBorder="1"/>
    <xf numFmtId="0" fontId="3" fillId="6" borderId="1" xfId="1" applyFill="1" applyBorder="1" applyAlignment="1">
      <alignment wrapText="1"/>
    </xf>
    <xf numFmtId="0" fontId="3" fillId="5" borderId="1" xfId="1" applyFill="1" applyBorder="1"/>
    <xf numFmtId="1" fontId="3" fillId="6" borderId="1" xfId="1" applyNumberFormat="1" applyFill="1" applyBorder="1" applyAlignment="1">
      <alignment vertical="center"/>
    </xf>
    <xf numFmtId="0" fontId="3" fillId="0" borderId="1" xfId="1" applyBorder="1" applyAlignment="1">
      <alignment vertical="center"/>
    </xf>
    <xf numFmtId="0" fontId="3" fillId="5" borderId="1" xfId="1" applyFill="1" applyBorder="1" applyAlignment="1">
      <alignment vertical="center"/>
    </xf>
    <xf numFmtId="2" fontId="3" fillId="0" borderId="0" xfId="1" applyNumberFormat="1"/>
    <xf numFmtId="2" fontId="3" fillId="0" borderId="1" xfId="1" applyNumberFormat="1" applyBorder="1" applyAlignment="1">
      <alignment vertical="center"/>
    </xf>
    <xf numFmtId="0" fontId="3" fillId="0" borderId="1" xfId="1" applyBorder="1" applyAlignment="1">
      <alignment horizontal="center" vertical="center"/>
    </xf>
    <xf numFmtId="2" fontId="3" fillId="0" borderId="0" xfId="1" applyNumberFormat="1" applyAlignment="1">
      <alignment vertical="center"/>
    </xf>
    <xf numFmtId="2" fontId="3" fillId="0" borderId="6" xfId="1" applyNumberForma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3" fontId="6" fillId="0" borderId="7" xfId="1" applyNumberFormat="1" applyFont="1" applyBorder="1" applyAlignment="1">
      <alignment horizontal="center" vertical="center"/>
    </xf>
    <xf numFmtId="3" fontId="9" fillId="0" borderId="7" xfId="1" applyNumberFormat="1" applyFont="1" applyBorder="1" applyAlignment="1">
      <alignment horizontal="center" vertical="center"/>
    </xf>
    <xf numFmtId="3" fontId="6" fillId="2" borderId="7" xfId="1" applyNumberFormat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1" fontId="6" fillId="2" borderId="7" xfId="1" applyNumberFormat="1" applyFont="1" applyFill="1" applyBorder="1" applyAlignment="1">
      <alignment horizontal="center" vertical="center"/>
    </xf>
    <xf numFmtId="1" fontId="6" fillId="3" borderId="7" xfId="1" applyNumberFormat="1" applyFont="1" applyFill="1" applyBorder="1" applyAlignment="1">
      <alignment horizontal="center" vertical="center"/>
    </xf>
    <xf numFmtId="1" fontId="6" fillId="0" borderId="7" xfId="1" applyNumberFormat="1" applyFont="1" applyBorder="1" applyAlignment="1">
      <alignment horizontal="center" vertical="center"/>
    </xf>
    <xf numFmtId="1" fontId="3" fillId="0" borderId="7" xfId="1" applyNumberFormat="1" applyBorder="1" applyAlignment="1">
      <alignment horizontal="center" vertical="center"/>
    </xf>
    <xf numFmtId="1" fontId="3" fillId="6" borderId="7" xfId="1" applyNumberFormat="1" applyFill="1" applyBorder="1" applyAlignment="1">
      <alignment vertical="center"/>
    </xf>
    <xf numFmtId="0" fontId="3" fillId="0" borderId="7" xfId="1" applyBorder="1" applyAlignment="1">
      <alignment vertical="center"/>
    </xf>
    <xf numFmtId="0" fontId="3" fillId="5" borderId="7" xfId="1" applyFill="1" applyBorder="1" applyAlignment="1">
      <alignment vertical="center"/>
    </xf>
    <xf numFmtId="2" fontId="3" fillId="0" borderId="7" xfId="1" applyNumberFormat="1" applyBorder="1" applyAlignment="1">
      <alignment vertical="center"/>
    </xf>
    <xf numFmtId="0" fontId="3" fillId="0" borderId="7" xfId="1" applyBorder="1" applyAlignment="1">
      <alignment horizontal="center" vertical="center"/>
    </xf>
    <xf numFmtId="0" fontId="3" fillId="0" borderId="1" xfId="1" applyBorder="1" applyAlignment="1">
      <alignment vertical="center" wrapText="1"/>
    </xf>
    <xf numFmtId="0" fontId="3" fillId="0" borderId="7" xfId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2" fontId="3" fillId="5" borderId="1" xfId="1" applyNumberFormat="1" applyFill="1" applyBorder="1" applyAlignment="1">
      <alignment vertical="center"/>
    </xf>
    <xf numFmtId="2" fontId="3" fillId="7" borderId="6" xfId="1" applyNumberFormat="1" applyFill="1" applyBorder="1" applyAlignment="1">
      <alignment vertical="center"/>
    </xf>
    <xf numFmtId="0" fontId="3" fillId="0" borderId="9" xfId="1" applyBorder="1" applyAlignment="1">
      <alignment vertical="center"/>
    </xf>
    <xf numFmtId="0" fontId="3" fillId="0" borderId="0" xfId="1" applyAlignment="1">
      <alignment horizontal="center" wrapText="1"/>
    </xf>
    <xf numFmtId="0" fontId="3" fillId="0" borderId="0" xfId="1" applyAlignment="1">
      <alignment horizontal="center"/>
    </xf>
    <xf numFmtId="0" fontId="3" fillId="0" borderId="9" xfId="1" applyBorder="1" applyAlignment="1">
      <alignment horizontal="center" vertical="center"/>
    </xf>
    <xf numFmtId="0" fontId="3" fillId="7" borderId="0" xfId="1" applyFill="1" applyAlignment="1">
      <alignment vertical="center"/>
    </xf>
    <xf numFmtId="2" fontId="3" fillId="7" borderId="0" xfId="1" applyNumberFormat="1" applyFill="1" applyAlignment="1">
      <alignment vertical="center"/>
    </xf>
    <xf numFmtId="2" fontId="3" fillId="7" borderId="8" xfId="1" applyNumberFormat="1" applyFill="1" applyBorder="1" applyAlignment="1">
      <alignment vertical="center"/>
    </xf>
    <xf numFmtId="2" fontId="3" fillId="7" borderId="9" xfId="1" applyNumberFormat="1" applyFill="1" applyBorder="1" applyAlignment="1">
      <alignment vertical="center"/>
    </xf>
    <xf numFmtId="0" fontId="3" fillId="7" borderId="9" xfId="1" applyFill="1" applyBorder="1" applyAlignment="1">
      <alignment vertical="center"/>
    </xf>
    <xf numFmtId="1" fontId="6" fillId="0" borderId="1" xfId="1" applyNumberFormat="1" applyFont="1" applyBorder="1" applyAlignment="1">
      <alignment horizontal="center" vertical="center" wrapText="1"/>
    </xf>
    <xf numFmtId="0" fontId="3" fillId="0" borderId="0" xfId="1" applyAlignment="1">
      <alignment horizontal="center" wrapText="1"/>
    </xf>
    <xf numFmtId="0" fontId="16" fillId="0" borderId="6" xfId="1" applyFont="1" applyBorder="1" applyAlignment="1">
      <alignment horizontal="center" wrapText="1"/>
    </xf>
    <xf numFmtId="0" fontId="16" fillId="0" borderId="0" xfId="1" applyFont="1" applyAlignment="1">
      <alignment horizontal="center" wrapText="1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/>
    <xf numFmtId="0" fontId="6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/>
    </xf>
    <xf numFmtId="0" fontId="3" fillId="0" borderId="0" xfId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2" fontId="3" fillId="8" borderId="0" xfId="1" applyNumberFormat="1" applyFill="1" applyAlignment="1">
      <alignment vertical="center"/>
    </xf>
  </cellXfs>
  <cellStyles count="3">
    <cellStyle name="Normal" xfId="0" builtinId="0"/>
    <cellStyle name="Normal 3 3" xfId="1" xr:uid="{AB78CE02-0B71-4D1A-8D5A-2DE29B0FB62E}"/>
    <cellStyle name="Normal 5 3" xfId="2" xr:uid="{4A7E31C0-CC2E-4CA5-8278-02F7D8034D3F}"/>
  </cellStyles>
  <dxfs count="1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C065-CFB4-4260-A9F2-022E0B1139E9}">
  <sheetPr>
    <tabColor rgb="FFFFC000"/>
    <pageSetUpPr fitToPage="1"/>
  </sheetPr>
  <dimension ref="A1:AG52"/>
  <sheetViews>
    <sheetView zoomScaleNormal="100" workbookViewId="0">
      <pane xSplit="2" ySplit="9" topLeftCell="D16" activePane="bottomRight" state="frozen"/>
      <selection sqref="A1:AO54"/>
      <selection pane="topRight" sqref="A1:AO54"/>
      <selection pane="bottomLeft" sqref="A1:AO54"/>
      <selection pane="bottomRight" activeCell="AF9" sqref="AF9:AF52"/>
    </sheetView>
  </sheetViews>
  <sheetFormatPr defaultColWidth="14" defaultRowHeight="15" customHeight="1" x14ac:dyDescent="0.25"/>
  <cols>
    <col min="1" max="1" width="8.5546875" style="1" customWidth="1"/>
    <col min="2" max="2" width="18.21875" style="1" customWidth="1"/>
    <col min="3" max="3" width="6.5546875" style="1" customWidth="1"/>
    <col min="4" max="11" width="4.77734375" style="1" customWidth="1"/>
    <col min="12" max="12" width="6.77734375" style="1" customWidth="1"/>
    <col min="13" max="19" width="4.77734375" style="1" customWidth="1"/>
    <col min="20" max="20" width="6.77734375" style="1" customWidth="1"/>
    <col min="21" max="28" width="4.77734375" style="1" customWidth="1"/>
    <col min="29" max="29" width="7" style="1" customWidth="1"/>
    <col min="30" max="31" width="8.21875" style="1" customWidth="1"/>
    <col min="32" max="32" width="7.21875" style="1" customWidth="1"/>
    <col min="33" max="33" width="9" style="1" customWidth="1"/>
    <col min="34" max="34" width="4.77734375" style="1" customWidth="1"/>
    <col min="35" max="16384" width="14" style="1"/>
  </cols>
  <sheetData>
    <row r="1" spans="1:33" ht="21.45" customHeight="1" x14ac:dyDescent="0.35">
      <c r="A1" s="87" t="s">
        <v>76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</row>
    <row r="2" spans="1:33" ht="14.25" hidden="1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3" ht="14.25" hidden="1" customHeight="1" x14ac:dyDescent="0.3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</row>
    <row r="4" spans="1:33" ht="3" hidden="1" customHeight="1" x14ac:dyDescent="0.3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</row>
    <row r="5" spans="1:33" ht="14.4" x14ac:dyDescent="0.3">
      <c r="A5" s="89" t="s">
        <v>127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</row>
    <row r="6" spans="1:33" ht="14.4" x14ac:dyDescent="0.3">
      <c r="A6" s="2"/>
      <c r="B6" s="23" t="s">
        <v>6</v>
      </c>
      <c r="M6" s="3" t="s">
        <v>0</v>
      </c>
      <c r="N6" s="3" t="s">
        <v>1</v>
      </c>
      <c r="O6" s="3" t="s">
        <v>1</v>
      </c>
      <c r="P6" s="3" t="s">
        <v>1</v>
      </c>
      <c r="Q6" s="3" t="s">
        <v>2</v>
      </c>
      <c r="R6" s="3" t="s">
        <v>2</v>
      </c>
      <c r="S6" s="3" t="s">
        <v>2</v>
      </c>
      <c r="T6" s="3">
        <v>15</v>
      </c>
      <c r="U6" s="22">
        <v>55</v>
      </c>
      <c r="V6" s="22">
        <v>33</v>
      </c>
      <c r="W6" s="22">
        <v>33</v>
      </c>
      <c r="X6" s="22">
        <v>33</v>
      </c>
      <c r="Y6" s="22">
        <v>43</v>
      </c>
      <c r="Z6" s="22">
        <v>43</v>
      </c>
      <c r="AA6" s="22">
        <v>43</v>
      </c>
      <c r="AB6" s="22">
        <v>15</v>
      </c>
      <c r="AC6" s="21"/>
    </row>
    <row r="7" spans="1:33" ht="14.25" customHeight="1" x14ac:dyDescent="0.3">
      <c r="A7" s="84" t="s">
        <v>3</v>
      </c>
      <c r="B7" s="84" t="s">
        <v>4</v>
      </c>
      <c r="C7" s="84" t="s">
        <v>5</v>
      </c>
      <c r="D7" s="84" t="s">
        <v>125</v>
      </c>
      <c r="E7" s="85"/>
      <c r="F7" s="85"/>
      <c r="G7" s="85"/>
      <c r="H7" s="85"/>
      <c r="I7" s="85"/>
      <c r="J7" s="85"/>
      <c r="K7" s="85"/>
      <c r="L7" s="85"/>
      <c r="M7" s="91" t="s">
        <v>6</v>
      </c>
      <c r="N7" s="92"/>
      <c r="O7" s="92"/>
      <c r="P7" s="92"/>
      <c r="Q7" s="92"/>
      <c r="R7" s="92"/>
      <c r="S7" s="92"/>
      <c r="T7" s="93"/>
      <c r="U7" s="84" t="s">
        <v>7</v>
      </c>
      <c r="V7" s="85"/>
      <c r="W7" s="85"/>
      <c r="X7" s="85"/>
      <c r="Y7" s="85"/>
      <c r="Z7" s="85"/>
      <c r="AA7" s="85"/>
      <c r="AB7" s="85"/>
      <c r="AC7" s="85"/>
      <c r="AD7" s="86" t="s">
        <v>126</v>
      </c>
      <c r="AE7" s="85"/>
      <c r="AF7" s="85"/>
      <c r="AG7" s="85"/>
    </row>
    <row r="8" spans="1:33" ht="18.75" customHeight="1" x14ac:dyDescent="0.25">
      <c r="A8" s="84"/>
      <c r="B8" s="84"/>
      <c r="C8" s="84"/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6" t="s">
        <v>15</v>
      </c>
      <c r="L8" s="7" t="s">
        <v>16</v>
      </c>
      <c r="M8" s="4" t="s">
        <v>8</v>
      </c>
      <c r="N8" s="4" t="s">
        <v>9</v>
      </c>
      <c r="O8" s="4" t="s">
        <v>10</v>
      </c>
      <c r="P8" s="4" t="s">
        <v>11</v>
      </c>
      <c r="Q8" s="4" t="s">
        <v>12</v>
      </c>
      <c r="R8" s="4" t="s">
        <v>13</v>
      </c>
      <c r="S8" s="4" t="s">
        <v>14</v>
      </c>
      <c r="T8" s="7" t="s">
        <v>16</v>
      </c>
      <c r="U8" s="4" t="s">
        <v>8</v>
      </c>
      <c r="V8" s="4" t="s">
        <v>9</v>
      </c>
      <c r="W8" s="4" t="s">
        <v>10</v>
      </c>
      <c r="X8" s="4" t="s">
        <v>11</v>
      </c>
      <c r="Y8" s="4" t="s">
        <v>12</v>
      </c>
      <c r="Z8" s="4" t="s">
        <v>13</v>
      </c>
      <c r="AA8" s="4" t="s">
        <v>14</v>
      </c>
      <c r="AB8" s="4" t="s">
        <v>15</v>
      </c>
      <c r="AC8" s="7" t="s">
        <v>16</v>
      </c>
      <c r="AD8" s="8" t="s">
        <v>17</v>
      </c>
      <c r="AE8" s="9" t="s">
        <v>18</v>
      </c>
      <c r="AF8" s="4" t="s">
        <v>19</v>
      </c>
      <c r="AG8" s="20"/>
    </row>
    <row r="9" spans="1:33" ht="18.75" customHeight="1" x14ac:dyDescent="0.25">
      <c r="A9" s="10">
        <v>119964</v>
      </c>
      <c r="B9" s="11" t="s">
        <v>20</v>
      </c>
      <c r="C9" s="4">
        <v>1</v>
      </c>
      <c r="D9" s="12">
        <f>_xlfn.XLOOKUP($A9,Enrolment!$A:$A,Enrolment!C:C,,,)</f>
        <v>247</v>
      </c>
      <c r="E9" s="12">
        <f>_xlfn.XLOOKUP($A9,Enrolment!$A:$A,Enrolment!D:D,,,)</f>
        <v>235</v>
      </c>
      <c r="F9" s="12">
        <f>_xlfn.XLOOKUP($A9,Enrolment!$A:$A,Enrolment!E:E,,,)</f>
        <v>233</v>
      </c>
      <c r="G9" s="12">
        <f>_xlfn.XLOOKUP($A9,Enrolment!$A:$A,Enrolment!F:F,,,)</f>
        <v>243</v>
      </c>
      <c r="H9" s="12">
        <f>_xlfn.XLOOKUP($A9,Enrolment!$A:$A,Enrolment!G:G,,,)</f>
        <v>229</v>
      </c>
      <c r="I9" s="12">
        <f>_xlfn.XLOOKUP($A9,Enrolment!$A:$A,Enrolment!H:H,,,)</f>
        <v>293</v>
      </c>
      <c r="J9" s="12">
        <f>_xlfn.XLOOKUP($A9,Enrolment!$A:$A,Enrolment!I:I,,,)</f>
        <v>234</v>
      </c>
      <c r="K9" s="9">
        <f>_xlfn.XLOOKUP(A9,Enrolment!$A:$A,Enrolment!J:J,,,)</f>
        <v>0</v>
      </c>
      <c r="L9" s="13">
        <f>SUM(D9:K9)</f>
        <v>1714</v>
      </c>
      <c r="M9" s="4">
        <f>ROUND(D9/U9,0)</f>
        <v>49</v>
      </c>
      <c r="N9" s="4">
        <f t="shared" ref="N9:N52" si="0">ROUND(E9/V9,0)</f>
        <v>29</v>
      </c>
      <c r="O9" s="4">
        <f t="shared" ref="O9:O52" si="1">ROUND(F9/W9,0)</f>
        <v>29</v>
      </c>
      <c r="P9" s="4">
        <f t="shared" ref="P9:P52" si="2">ROUND(G9/X9,0)</f>
        <v>30</v>
      </c>
      <c r="Q9" s="4">
        <f t="shared" ref="Q9:Q52" si="3">ROUND(H9/Y9,0)</f>
        <v>38</v>
      </c>
      <c r="R9" s="4">
        <f t="shared" ref="R9:R52" si="4">ROUND(I9/Z9,0)</f>
        <v>42</v>
      </c>
      <c r="S9" s="4">
        <f t="shared" ref="S9:S52" si="5">ROUND(J9/AA9,0)</f>
        <v>39</v>
      </c>
      <c r="T9" s="7">
        <f t="shared" ref="T9:T52" si="6">SUM(M9:S9)</f>
        <v>256</v>
      </c>
      <c r="U9" s="4">
        <f>ROUNDUP(D9/55,0)</f>
        <v>5</v>
      </c>
      <c r="V9" s="4">
        <f>ROUNDUP(E9/33,0)</f>
        <v>8</v>
      </c>
      <c r="W9" s="4">
        <f>ROUNDUP(F9/33,0)</f>
        <v>8</v>
      </c>
      <c r="X9" s="4">
        <f>ROUNDUP(G9/33,0)</f>
        <v>8</v>
      </c>
      <c r="Y9" s="4">
        <f>ROUNDUP(H9/43,0)</f>
        <v>6</v>
      </c>
      <c r="Z9" s="4">
        <f>ROUNDUP(I9/43,0)</f>
        <v>7</v>
      </c>
      <c r="AA9" s="4">
        <f>ROUNDUP(J9/43,0)</f>
        <v>6</v>
      </c>
      <c r="AB9" s="4">
        <f>ROUNDUP(K9/15,0)</f>
        <v>0</v>
      </c>
      <c r="AC9" s="14">
        <f>SUM(U9:AB9)</f>
        <v>48</v>
      </c>
      <c r="AD9" s="15">
        <f>AB9+SUM(U9:W9)+SUM(X9:AA9)*1.25</f>
        <v>54.75</v>
      </c>
      <c r="AE9" s="9">
        <f>_xlfn.XLOOKUP(A9,Teachers!A:A,Teachers!C:C,,,)</f>
        <v>51</v>
      </c>
      <c r="AF9" s="10">
        <f>ROUND(AD9-AE9,0)</f>
        <v>4</v>
      </c>
      <c r="AG9" s="20"/>
    </row>
    <row r="10" spans="1:33" ht="18.75" customHeight="1" x14ac:dyDescent="0.25">
      <c r="A10" s="4">
        <v>119986</v>
      </c>
      <c r="B10" s="11" t="s">
        <v>21</v>
      </c>
      <c r="C10" s="4">
        <v>8</v>
      </c>
      <c r="D10" s="12">
        <f>_xlfn.XLOOKUP($A10,Enrolment!$A:$A,Enrolment!C:C,,,)</f>
        <v>197</v>
      </c>
      <c r="E10" s="12">
        <f>_xlfn.XLOOKUP($A10,Enrolment!$A:$A,Enrolment!D:D,,,)</f>
        <v>188</v>
      </c>
      <c r="F10" s="12">
        <f>_xlfn.XLOOKUP($A10,Enrolment!$A:$A,Enrolment!E:E,,,)</f>
        <v>204</v>
      </c>
      <c r="G10" s="12">
        <f>_xlfn.XLOOKUP($A10,Enrolment!$A:$A,Enrolment!F:F,,,)</f>
        <v>235</v>
      </c>
      <c r="H10" s="12">
        <f>_xlfn.XLOOKUP($A10,Enrolment!$A:$A,Enrolment!G:G,,,)</f>
        <v>227</v>
      </c>
      <c r="I10" s="12">
        <f>_xlfn.XLOOKUP($A10,Enrolment!$A:$A,Enrolment!H:H,,,)</f>
        <v>284</v>
      </c>
      <c r="J10" s="12">
        <f>_xlfn.XLOOKUP($A10,Enrolment!$A:$A,Enrolment!I:I,,,)</f>
        <v>220</v>
      </c>
      <c r="K10" s="9">
        <f>_xlfn.XLOOKUP(A10,Enrolment!$A:$A,Enrolment!J:J,,,)</f>
        <v>0</v>
      </c>
      <c r="L10" s="13">
        <f t="shared" ref="L10:L52" si="7">SUM(D10:K10)</f>
        <v>1555</v>
      </c>
      <c r="M10" s="4">
        <f t="shared" ref="M10:M52" si="8">ROUND(D10/U10,0)</f>
        <v>49</v>
      </c>
      <c r="N10" s="4">
        <f t="shared" si="0"/>
        <v>31</v>
      </c>
      <c r="O10" s="4">
        <f t="shared" si="1"/>
        <v>29</v>
      </c>
      <c r="P10" s="4">
        <f t="shared" si="2"/>
        <v>29</v>
      </c>
      <c r="Q10" s="4">
        <f t="shared" si="3"/>
        <v>38</v>
      </c>
      <c r="R10" s="4">
        <f t="shared" si="4"/>
        <v>41</v>
      </c>
      <c r="S10" s="4">
        <f t="shared" si="5"/>
        <v>37</v>
      </c>
      <c r="T10" s="7">
        <f t="shared" si="6"/>
        <v>254</v>
      </c>
      <c r="U10" s="4">
        <f t="shared" ref="U10:U52" si="9">ROUNDUP(D10/55,0)</f>
        <v>4</v>
      </c>
      <c r="V10" s="4">
        <f t="shared" ref="V10:V52" si="10">ROUNDUP(E10/33,0)</f>
        <v>6</v>
      </c>
      <c r="W10" s="4">
        <f t="shared" ref="W10:W52" si="11">ROUNDUP(F10/33,0)</f>
        <v>7</v>
      </c>
      <c r="X10" s="4">
        <f t="shared" ref="X10:X52" si="12">ROUNDUP(G10/33,0)</f>
        <v>8</v>
      </c>
      <c r="Y10" s="4">
        <f t="shared" ref="Y10:Y52" si="13">ROUNDUP(H10/43,0)</f>
        <v>6</v>
      </c>
      <c r="Z10" s="4">
        <f t="shared" ref="Z10:Z52" si="14">ROUNDUP(I10/43,0)</f>
        <v>7</v>
      </c>
      <c r="AA10" s="4">
        <f t="shared" ref="AA10:AA52" si="15">ROUNDUP(J10/43,0)</f>
        <v>6</v>
      </c>
      <c r="AB10" s="4">
        <f t="shared" ref="AB10:AB52" si="16">ROUNDUP(K10/15,0)</f>
        <v>0</v>
      </c>
      <c r="AC10" s="14">
        <f t="shared" ref="AC10:AC52" si="17">SUM(U10:AB10)</f>
        <v>44</v>
      </c>
      <c r="AD10" s="15">
        <f t="shared" ref="AD10:AD52" si="18">AB10+SUM(U10:W10)+SUM(X10:AA10)*1.25</f>
        <v>50.75</v>
      </c>
      <c r="AE10" s="9">
        <f>_xlfn.XLOOKUP(A10,Teachers!A:A,Teachers!C:C,,,)</f>
        <v>43</v>
      </c>
      <c r="AF10" s="10">
        <f t="shared" ref="AF10:AF52" si="19">ROUND(AD10-AE10,0)</f>
        <v>8</v>
      </c>
      <c r="AG10" s="20"/>
    </row>
    <row r="11" spans="1:33" ht="18.75" customHeight="1" x14ac:dyDescent="0.25">
      <c r="A11" s="4">
        <v>119974</v>
      </c>
      <c r="B11" s="11" t="s">
        <v>22</v>
      </c>
      <c r="C11" s="4">
        <v>4</v>
      </c>
      <c r="D11" s="12">
        <f>_xlfn.XLOOKUP($A11,Enrolment!$A:$A,Enrolment!C:C,,,)</f>
        <v>217</v>
      </c>
      <c r="E11" s="12">
        <f>_xlfn.XLOOKUP($A11,Enrolment!$A:$A,Enrolment!D:D,,,)</f>
        <v>207</v>
      </c>
      <c r="F11" s="12">
        <f>_xlfn.XLOOKUP($A11,Enrolment!$A:$A,Enrolment!E:E,,,)</f>
        <v>209</v>
      </c>
      <c r="G11" s="12">
        <f>_xlfn.XLOOKUP($A11,Enrolment!$A:$A,Enrolment!F:F,,,)</f>
        <v>221</v>
      </c>
      <c r="H11" s="12">
        <f>_xlfn.XLOOKUP($A11,Enrolment!$A:$A,Enrolment!G:G,,,)</f>
        <v>225</v>
      </c>
      <c r="I11" s="12">
        <f>_xlfn.XLOOKUP($A11,Enrolment!$A:$A,Enrolment!H:H,,,)</f>
        <v>244</v>
      </c>
      <c r="J11" s="12">
        <f>_xlfn.XLOOKUP($A11,Enrolment!$A:$A,Enrolment!I:I,,,)</f>
        <v>201</v>
      </c>
      <c r="K11" s="9">
        <f>_xlfn.XLOOKUP(A11,Enrolment!$A:$A,Enrolment!J:J,,,)</f>
        <v>0</v>
      </c>
      <c r="L11" s="13">
        <f t="shared" si="7"/>
        <v>1524</v>
      </c>
      <c r="M11" s="4">
        <f t="shared" si="8"/>
        <v>54</v>
      </c>
      <c r="N11" s="4">
        <f t="shared" si="0"/>
        <v>30</v>
      </c>
      <c r="O11" s="4">
        <f t="shared" si="1"/>
        <v>30</v>
      </c>
      <c r="P11" s="4">
        <f t="shared" si="2"/>
        <v>32</v>
      </c>
      <c r="Q11" s="4">
        <f t="shared" si="3"/>
        <v>38</v>
      </c>
      <c r="R11" s="4">
        <f t="shared" si="4"/>
        <v>41</v>
      </c>
      <c r="S11" s="4">
        <f t="shared" si="5"/>
        <v>40</v>
      </c>
      <c r="T11" s="7">
        <f t="shared" si="6"/>
        <v>265</v>
      </c>
      <c r="U11" s="4">
        <f t="shared" si="9"/>
        <v>4</v>
      </c>
      <c r="V11" s="4">
        <f t="shared" si="10"/>
        <v>7</v>
      </c>
      <c r="W11" s="4">
        <f t="shared" si="11"/>
        <v>7</v>
      </c>
      <c r="X11" s="4">
        <f t="shared" si="12"/>
        <v>7</v>
      </c>
      <c r="Y11" s="4">
        <f t="shared" si="13"/>
        <v>6</v>
      </c>
      <c r="Z11" s="4">
        <f t="shared" si="14"/>
        <v>6</v>
      </c>
      <c r="AA11" s="4">
        <f t="shared" si="15"/>
        <v>5</v>
      </c>
      <c r="AB11" s="4">
        <f t="shared" si="16"/>
        <v>0</v>
      </c>
      <c r="AC11" s="14">
        <f t="shared" si="17"/>
        <v>42</v>
      </c>
      <c r="AD11" s="15">
        <f t="shared" si="18"/>
        <v>48</v>
      </c>
      <c r="AE11" s="9">
        <f>_xlfn.XLOOKUP(A11,Teachers!A:A,Teachers!C:C,,,)</f>
        <v>49</v>
      </c>
      <c r="AF11" s="10">
        <f t="shared" si="19"/>
        <v>-1</v>
      </c>
      <c r="AG11" s="20"/>
    </row>
    <row r="12" spans="1:33" ht="18.75" customHeight="1" x14ac:dyDescent="0.25">
      <c r="A12" s="4">
        <v>119975</v>
      </c>
      <c r="B12" s="11" t="s">
        <v>23</v>
      </c>
      <c r="C12" s="4">
        <v>6</v>
      </c>
      <c r="D12" s="12">
        <f>_xlfn.XLOOKUP($A12,Enrolment!$A:$A,Enrolment!C:C,,,)</f>
        <v>309</v>
      </c>
      <c r="E12" s="12">
        <f>_xlfn.XLOOKUP($A12,Enrolment!$A:$A,Enrolment!D:D,,,)</f>
        <v>294</v>
      </c>
      <c r="F12" s="12">
        <f>_xlfn.XLOOKUP($A12,Enrolment!$A:$A,Enrolment!E:E,,,)</f>
        <v>244</v>
      </c>
      <c r="G12" s="12">
        <f>_xlfn.XLOOKUP($A12,Enrolment!$A:$A,Enrolment!F:F,,,)</f>
        <v>309</v>
      </c>
      <c r="H12" s="12">
        <f>_xlfn.XLOOKUP($A12,Enrolment!$A:$A,Enrolment!G:G,,,)</f>
        <v>281</v>
      </c>
      <c r="I12" s="12">
        <f>_xlfn.XLOOKUP($A12,Enrolment!$A:$A,Enrolment!H:H,,,)</f>
        <v>345</v>
      </c>
      <c r="J12" s="12">
        <f>_xlfn.XLOOKUP($A12,Enrolment!$A:$A,Enrolment!I:I,,,)</f>
        <v>282</v>
      </c>
      <c r="K12" s="9">
        <f>_xlfn.XLOOKUP(A12,Enrolment!$A:$A,Enrolment!J:J,,,)</f>
        <v>0</v>
      </c>
      <c r="L12" s="13">
        <f t="shared" si="7"/>
        <v>2064</v>
      </c>
      <c r="M12" s="4">
        <f t="shared" si="8"/>
        <v>52</v>
      </c>
      <c r="N12" s="4">
        <f t="shared" si="0"/>
        <v>33</v>
      </c>
      <c r="O12" s="4">
        <f t="shared" si="1"/>
        <v>31</v>
      </c>
      <c r="P12" s="4">
        <f t="shared" si="2"/>
        <v>31</v>
      </c>
      <c r="Q12" s="4">
        <f t="shared" si="3"/>
        <v>40</v>
      </c>
      <c r="R12" s="4">
        <f t="shared" si="4"/>
        <v>38</v>
      </c>
      <c r="S12" s="4">
        <f t="shared" si="5"/>
        <v>40</v>
      </c>
      <c r="T12" s="7">
        <f t="shared" si="6"/>
        <v>265</v>
      </c>
      <c r="U12" s="4">
        <f t="shared" si="9"/>
        <v>6</v>
      </c>
      <c r="V12" s="4">
        <f t="shared" si="10"/>
        <v>9</v>
      </c>
      <c r="W12" s="4">
        <f t="shared" si="11"/>
        <v>8</v>
      </c>
      <c r="X12" s="4">
        <f t="shared" si="12"/>
        <v>10</v>
      </c>
      <c r="Y12" s="4">
        <f t="shared" si="13"/>
        <v>7</v>
      </c>
      <c r="Z12" s="4">
        <f t="shared" si="14"/>
        <v>9</v>
      </c>
      <c r="AA12" s="4">
        <f t="shared" si="15"/>
        <v>7</v>
      </c>
      <c r="AB12" s="4">
        <f t="shared" si="16"/>
        <v>0</v>
      </c>
      <c r="AC12" s="14">
        <f t="shared" si="17"/>
        <v>56</v>
      </c>
      <c r="AD12" s="15">
        <f t="shared" si="18"/>
        <v>64.25</v>
      </c>
      <c r="AE12" s="9">
        <f>_xlfn.XLOOKUP(A12,Teachers!A:A,Teachers!C:C,,,)</f>
        <v>59</v>
      </c>
      <c r="AF12" s="10">
        <f t="shared" si="19"/>
        <v>5</v>
      </c>
      <c r="AG12" s="20"/>
    </row>
    <row r="13" spans="1:33" ht="18.75" customHeight="1" x14ac:dyDescent="0.25">
      <c r="A13" s="4">
        <v>119978</v>
      </c>
      <c r="B13" s="11" t="s">
        <v>24</v>
      </c>
      <c r="C13" s="4">
        <v>4</v>
      </c>
      <c r="D13" s="12">
        <f>_xlfn.XLOOKUP($A13,Enrolment!$A:$A,Enrolment!C:C,,,)</f>
        <v>235</v>
      </c>
      <c r="E13" s="12">
        <f>_xlfn.XLOOKUP($A13,Enrolment!$A:$A,Enrolment!D:D,,,)</f>
        <v>224</v>
      </c>
      <c r="F13" s="12">
        <f>_xlfn.XLOOKUP($A13,Enrolment!$A:$A,Enrolment!E:E,,,)</f>
        <v>229</v>
      </c>
      <c r="G13" s="12">
        <f>_xlfn.XLOOKUP($A13,Enrolment!$A:$A,Enrolment!F:F,,,)</f>
        <v>237</v>
      </c>
      <c r="H13" s="12">
        <f>_xlfn.XLOOKUP($A13,Enrolment!$A:$A,Enrolment!G:G,,,)</f>
        <v>235</v>
      </c>
      <c r="I13" s="12">
        <f>_xlfn.XLOOKUP($A13,Enrolment!$A:$A,Enrolment!H:H,,,)</f>
        <v>289</v>
      </c>
      <c r="J13" s="12">
        <f>_xlfn.XLOOKUP($A13,Enrolment!$A:$A,Enrolment!I:I,,,)</f>
        <v>274</v>
      </c>
      <c r="K13" s="9">
        <f>_xlfn.XLOOKUP(A13,Enrolment!$A:$A,Enrolment!J:J,,,)</f>
        <v>0</v>
      </c>
      <c r="L13" s="13">
        <f t="shared" si="7"/>
        <v>1723</v>
      </c>
      <c r="M13" s="4">
        <f t="shared" si="8"/>
        <v>47</v>
      </c>
      <c r="N13" s="4">
        <f t="shared" si="0"/>
        <v>32</v>
      </c>
      <c r="O13" s="4">
        <f t="shared" si="1"/>
        <v>33</v>
      </c>
      <c r="P13" s="4">
        <f t="shared" si="2"/>
        <v>30</v>
      </c>
      <c r="Q13" s="4">
        <f t="shared" si="3"/>
        <v>39</v>
      </c>
      <c r="R13" s="4">
        <f t="shared" si="4"/>
        <v>41</v>
      </c>
      <c r="S13" s="4">
        <f t="shared" si="5"/>
        <v>39</v>
      </c>
      <c r="T13" s="7">
        <f t="shared" si="6"/>
        <v>261</v>
      </c>
      <c r="U13" s="4">
        <f t="shared" si="9"/>
        <v>5</v>
      </c>
      <c r="V13" s="4">
        <f t="shared" si="10"/>
        <v>7</v>
      </c>
      <c r="W13" s="4">
        <f t="shared" si="11"/>
        <v>7</v>
      </c>
      <c r="X13" s="4">
        <f t="shared" si="12"/>
        <v>8</v>
      </c>
      <c r="Y13" s="4">
        <f t="shared" si="13"/>
        <v>6</v>
      </c>
      <c r="Z13" s="4">
        <f t="shared" si="14"/>
        <v>7</v>
      </c>
      <c r="AA13" s="4">
        <f t="shared" si="15"/>
        <v>7</v>
      </c>
      <c r="AB13" s="4">
        <f t="shared" si="16"/>
        <v>0</v>
      </c>
      <c r="AC13" s="14">
        <f t="shared" si="17"/>
        <v>47</v>
      </c>
      <c r="AD13" s="15">
        <f t="shared" si="18"/>
        <v>54</v>
      </c>
      <c r="AE13" s="9">
        <f>_xlfn.XLOOKUP(A13,Teachers!A:A,Teachers!C:C,,,)</f>
        <v>50</v>
      </c>
      <c r="AF13" s="10">
        <f t="shared" si="19"/>
        <v>4</v>
      </c>
      <c r="AG13" s="20"/>
    </row>
    <row r="14" spans="1:33" ht="18.75" customHeight="1" x14ac:dyDescent="0.25">
      <c r="A14" s="4">
        <v>119985</v>
      </c>
      <c r="B14" s="11" t="s">
        <v>25</v>
      </c>
      <c r="C14" s="4">
        <v>8</v>
      </c>
      <c r="D14" s="12">
        <f>_xlfn.XLOOKUP($A14,Enrolment!$A:$A,Enrolment!C:C,,,)</f>
        <v>261</v>
      </c>
      <c r="E14" s="12">
        <f>_xlfn.XLOOKUP($A14,Enrolment!$A:$A,Enrolment!D:D,,,)</f>
        <v>249</v>
      </c>
      <c r="F14" s="12">
        <f>_xlfn.XLOOKUP($A14,Enrolment!$A:$A,Enrolment!E:E,,,)</f>
        <v>265</v>
      </c>
      <c r="G14" s="12">
        <f>_xlfn.XLOOKUP($A14,Enrolment!$A:$A,Enrolment!F:F,,,)</f>
        <v>294</v>
      </c>
      <c r="H14" s="12">
        <f>_xlfn.XLOOKUP($A14,Enrolment!$A:$A,Enrolment!G:G,,,)</f>
        <v>337</v>
      </c>
      <c r="I14" s="12">
        <f>_xlfn.XLOOKUP($A14,Enrolment!$A:$A,Enrolment!H:H,,,)</f>
        <v>309</v>
      </c>
      <c r="J14" s="12">
        <f>_xlfn.XLOOKUP($A14,Enrolment!$A:$A,Enrolment!I:I,,,)</f>
        <v>305</v>
      </c>
      <c r="K14" s="9">
        <f>_xlfn.XLOOKUP(A14,Enrolment!$A:$A,Enrolment!J:J,,,)</f>
        <v>0</v>
      </c>
      <c r="L14" s="13">
        <f t="shared" si="7"/>
        <v>2020</v>
      </c>
      <c r="M14" s="4">
        <f t="shared" si="8"/>
        <v>52</v>
      </c>
      <c r="N14" s="4">
        <f t="shared" si="0"/>
        <v>31</v>
      </c>
      <c r="O14" s="4">
        <f t="shared" si="1"/>
        <v>29</v>
      </c>
      <c r="P14" s="4">
        <f t="shared" si="2"/>
        <v>33</v>
      </c>
      <c r="Q14" s="4">
        <f t="shared" si="3"/>
        <v>42</v>
      </c>
      <c r="R14" s="4">
        <f t="shared" si="4"/>
        <v>39</v>
      </c>
      <c r="S14" s="4">
        <f t="shared" si="5"/>
        <v>38</v>
      </c>
      <c r="T14" s="7">
        <f t="shared" si="6"/>
        <v>264</v>
      </c>
      <c r="U14" s="4">
        <f t="shared" si="9"/>
        <v>5</v>
      </c>
      <c r="V14" s="4">
        <f t="shared" si="10"/>
        <v>8</v>
      </c>
      <c r="W14" s="4">
        <f t="shared" si="11"/>
        <v>9</v>
      </c>
      <c r="X14" s="4">
        <f t="shared" si="12"/>
        <v>9</v>
      </c>
      <c r="Y14" s="4">
        <f t="shared" si="13"/>
        <v>8</v>
      </c>
      <c r="Z14" s="4">
        <f t="shared" si="14"/>
        <v>8</v>
      </c>
      <c r="AA14" s="4">
        <f t="shared" si="15"/>
        <v>8</v>
      </c>
      <c r="AB14" s="4">
        <f t="shared" si="16"/>
        <v>0</v>
      </c>
      <c r="AC14" s="14">
        <f t="shared" si="17"/>
        <v>55</v>
      </c>
      <c r="AD14" s="15">
        <f t="shared" si="18"/>
        <v>63.25</v>
      </c>
      <c r="AE14" s="9">
        <f>_xlfn.XLOOKUP(A14,Teachers!A:A,Teachers!C:C,,,)</f>
        <v>69</v>
      </c>
      <c r="AF14" s="10">
        <f t="shared" si="19"/>
        <v>-6</v>
      </c>
      <c r="AG14" s="20"/>
    </row>
    <row r="15" spans="1:33" ht="18.75" customHeight="1" x14ac:dyDescent="0.25">
      <c r="A15" s="4">
        <v>119984</v>
      </c>
      <c r="B15" s="11" t="s">
        <v>26</v>
      </c>
      <c r="C15" s="4">
        <v>6</v>
      </c>
      <c r="D15" s="12">
        <f>_xlfn.XLOOKUP($A15,Enrolment!$A:$A,Enrolment!C:C,,,)</f>
        <v>237</v>
      </c>
      <c r="E15" s="12">
        <f>_xlfn.XLOOKUP($A15,Enrolment!$A:$A,Enrolment!D:D,,,)</f>
        <v>226</v>
      </c>
      <c r="F15" s="12">
        <f>_xlfn.XLOOKUP($A15,Enrolment!$A:$A,Enrolment!E:E,,,)</f>
        <v>192</v>
      </c>
      <c r="G15" s="12">
        <f>_xlfn.XLOOKUP($A15,Enrolment!$A:$A,Enrolment!F:F,,,)</f>
        <v>215</v>
      </c>
      <c r="H15" s="12">
        <f>_xlfn.XLOOKUP($A15,Enrolment!$A:$A,Enrolment!G:G,,,)</f>
        <v>270</v>
      </c>
      <c r="I15" s="12">
        <f>_xlfn.XLOOKUP($A15,Enrolment!$A:$A,Enrolment!H:H,,,)</f>
        <v>255</v>
      </c>
      <c r="J15" s="12">
        <f>_xlfn.XLOOKUP($A15,Enrolment!$A:$A,Enrolment!I:I,,,)</f>
        <v>223</v>
      </c>
      <c r="K15" s="9">
        <f>_xlfn.XLOOKUP(A15,Enrolment!$A:$A,Enrolment!J:J,,,)</f>
        <v>0</v>
      </c>
      <c r="L15" s="13">
        <f t="shared" si="7"/>
        <v>1618</v>
      </c>
      <c r="M15" s="4">
        <f t="shared" si="8"/>
        <v>47</v>
      </c>
      <c r="N15" s="4">
        <f t="shared" si="0"/>
        <v>32</v>
      </c>
      <c r="O15" s="4">
        <f t="shared" si="1"/>
        <v>32</v>
      </c>
      <c r="P15" s="4">
        <f t="shared" si="2"/>
        <v>31</v>
      </c>
      <c r="Q15" s="4">
        <f t="shared" si="3"/>
        <v>39</v>
      </c>
      <c r="R15" s="4">
        <f t="shared" si="4"/>
        <v>43</v>
      </c>
      <c r="S15" s="4">
        <f t="shared" si="5"/>
        <v>37</v>
      </c>
      <c r="T15" s="7">
        <f t="shared" si="6"/>
        <v>261</v>
      </c>
      <c r="U15" s="4">
        <f t="shared" si="9"/>
        <v>5</v>
      </c>
      <c r="V15" s="4">
        <f t="shared" si="10"/>
        <v>7</v>
      </c>
      <c r="W15" s="4">
        <f t="shared" si="11"/>
        <v>6</v>
      </c>
      <c r="X15" s="4">
        <f t="shared" si="12"/>
        <v>7</v>
      </c>
      <c r="Y15" s="4">
        <f t="shared" si="13"/>
        <v>7</v>
      </c>
      <c r="Z15" s="4">
        <f t="shared" si="14"/>
        <v>6</v>
      </c>
      <c r="AA15" s="4">
        <f t="shared" si="15"/>
        <v>6</v>
      </c>
      <c r="AB15" s="4">
        <f t="shared" si="16"/>
        <v>0</v>
      </c>
      <c r="AC15" s="14">
        <f t="shared" si="17"/>
        <v>44</v>
      </c>
      <c r="AD15" s="15">
        <f t="shared" si="18"/>
        <v>50.5</v>
      </c>
      <c r="AE15" s="9">
        <f>_xlfn.XLOOKUP(A15,Teachers!A:A,Teachers!C:C,,,)</f>
        <v>49</v>
      </c>
      <c r="AF15" s="10">
        <f t="shared" si="19"/>
        <v>2</v>
      </c>
      <c r="AG15" s="20"/>
    </row>
    <row r="16" spans="1:33" ht="18.75" customHeight="1" x14ac:dyDescent="0.25">
      <c r="A16" s="4">
        <v>119968</v>
      </c>
      <c r="B16" s="11" t="s">
        <v>27</v>
      </c>
      <c r="C16" s="4">
        <v>3</v>
      </c>
      <c r="D16" s="12">
        <f>_xlfn.XLOOKUP($A16,Enrolment!$A:$A,Enrolment!C:C,,,)</f>
        <v>278</v>
      </c>
      <c r="E16" s="12">
        <f>_xlfn.XLOOKUP($A16,Enrolment!$A:$A,Enrolment!D:D,,,)</f>
        <v>265</v>
      </c>
      <c r="F16" s="12">
        <f>_xlfn.XLOOKUP($A16,Enrolment!$A:$A,Enrolment!E:E,,,)</f>
        <v>237</v>
      </c>
      <c r="G16" s="12">
        <f>_xlfn.XLOOKUP($A16,Enrolment!$A:$A,Enrolment!F:F,,,)</f>
        <v>247</v>
      </c>
      <c r="H16" s="12">
        <f>_xlfn.XLOOKUP($A16,Enrolment!$A:$A,Enrolment!G:G,,,)</f>
        <v>285</v>
      </c>
      <c r="I16" s="12">
        <f>_xlfn.XLOOKUP($A16,Enrolment!$A:$A,Enrolment!H:H,,,)</f>
        <v>281</v>
      </c>
      <c r="J16" s="12">
        <f>_xlfn.XLOOKUP($A16,Enrolment!$A:$A,Enrolment!I:I,,,)</f>
        <v>254</v>
      </c>
      <c r="K16" s="9">
        <f>_xlfn.XLOOKUP(A16,Enrolment!$A:$A,Enrolment!J:J,,,)</f>
        <v>0</v>
      </c>
      <c r="L16" s="13">
        <f t="shared" si="7"/>
        <v>1847</v>
      </c>
      <c r="M16" s="4">
        <f t="shared" si="8"/>
        <v>46</v>
      </c>
      <c r="N16" s="4">
        <f t="shared" si="0"/>
        <v>29</v>
      </c>
      <c r="O16" s="4">
        <f t="shared" si="1"/>
        <v>30</v>
      </c>
      <c r="P16" s="4">
        <f t="shared" si="2"/>
        <v>31</v>
      </c>
      <c r="Q16" s="4">
        <f t="shared" si="3"/>
        <v>41</v>
      </c>
      <c r="R16" s="4">
        <f t="shared" si="4"/>
        <v>40</v>
      </c>
      <c r="S16" s="4">
        <f t="shared" si="5"/>
        <v>42</v>
      </c>
      <c r="T16" s="7">
        <f t="shared" si="6"/>
        <v>259</v>
      </c>
      <c r="U16" s="4">
        <f t="shared" si="9"/>
        <v>6</v>
      </c>
      <c r="V16" s="4">
        <f t="shared" si="10"/>
        <v>9</v>
      </c>
      <c r="W16" s="4">
        <f t="shared" si="11"/>
        <v>8</v>
      </c>
      <c r="X16" s="4">
        <f t="shared" si="12"/>
        <v>8</v>
      </c>
      <c r="Y16" s="4">
        <f t="shared" si="13"/>
        <v>7</v>
      </c>
      <c r="Z16" s="4">
        <f t="shared" si="14"/>
        <v>7</v>
      </c>
      <c r="AA16" s="4">
        <f t="shared" si="15"/>
        <v>6</v>
      </c>
      <c r="AB16" s="4">
        <f t="shared" si="16"/>
        <v>0</v>
      </c>
      <c r="AC16" s="14">
        <f t="shared" si="17"/>
        <v>51</v>
      </c>
      <c r="AD16" s="15">
        <f t="shared" si="18"/>
        <v>58</v>
      </c>
      <c r="AE16" s="9">
        <f>_xlfn.XLOOKUP(A16,Teachers!A:A,Teachers!C:C,,,)</f>
        <v>49</v>
      </c>
      <c r="AF16" s="10">
        <f t="shared" si="19"/>
        <v>9</v>
      </c>
      <c r="AG16" s="20"/>
    </row>
    <row r="17" spans="1:33" ht="18.75" customHeight="1" x14ac:dyDescent="0.25">
      <c r="A17" s="4">
        <v>119972</v>
      </c>
      <c r="B17" s="11" t="s">
        <v>28</v>
      </c>
      <c r="C17" s="4">
        <v>4</v>
      </c>
      <c r="D17" s="12">
        <f>_xlfn.XLOOKUP($A17,Enrolment!$A:$A,Enrolment!C:C,,,)</f>
        <v>168</v>
      </c>
      <c r="E17" s="12">
        <f>_xlfn.XLOOKUP($A17,Enrolment!$A:$A,Enrolment!D:D,,,)</f>
        <v>160</v>
      </c>
      <c r="F17" s="12">
        <f>_xlfn.XLOOKUP($A17,Enrolment!$A:$A,Enrolment!E:E,,,)</f>
        <v>167</v>
      </c>
      <c r="G17" s="12">
        <f>_xlfn.XLOOKUP($A17,Enrolment!$A:$A,Enrolment!F:F,,,)</f>
        <v>195</v>
      </c>
      <c r="H17" s="12">
        <f>_xlfn.XLOOKUP($A17,Enrolment!$A:$A,Enrolment!G:G,,,)</f>
        <v>200</v>
      </c>
      <c r="I17" s="12">
        <f>_xlfn.XLOOKUP($A17,Enrolment!$A:$A,Enrolment!H:H,,,)</f>
        <v>196</v>
      </c>
      <c r="J17" s="12">
        <f>_xlfn.XLOOKUP($A17,Enrolment!$A:$A,Enrolment!I:I,,,)</f>
        <v>184</v>
      </c>
      <c r="K17" s="9">
        <f>_xlfn.XLOOKUP(A17,Enrolment!$A:$A,Enrolment!J:J,,,)</f>
        <v>0</v>
      </c>
      <c r="L17" s="13">
        <f t="shared" si="7"/>
        <v>1270</v>
      </c>
      <c r="M17" s="4">
        <f t="shared" si="8"/>
        <v>42</v>
      </c>
      <c r="N17" s="4">
        <f t="shared" si="0"/>
        <v>32</v>
      </c>
      <c r="O17" s="4">
        <f t="shared" si="1"/>
        <v>28</v>
      </c>
      <c r="P17" s="4">
        <f t="shared" si="2"/>
        <v>33</v>
      </c>
      <c r="Q17" s="4">
        <f t="shared" si="3"/>
        <v>40</v>
      </c>
      <c r="R17" s="4">
        <f t="shared" si="4"/>
        <v>39</v>
      </c>
      <c r="S17" s="4">
        <f t="shared" si="5"/>
        <v>37</v>
      </c>
      <c r="T17" s="7">
        <f t="shared" si="6"/>
        <v>251</v>
      </c>
      <c r="U17" s="4">
        <f t="shared" si="9"/>
        <v>4</v>
      </c>
      <c r="V17" s="4">
        <f t="shared" si="10"/>
        <v>5</v>
      </c>
      <c r="W17" s="4">
        <f t="shared" si="11"/>
        <v>6</v>
      </c>
      <c r="X17" s="4">
        <f t="shared" si="12"/>
        <v>6</v>
      </c>
      <c r="Y17" s="4">
        <f t="shared" si="13"/>
        <v>5</v>
      </c>
      <c r="Z17" s="4">
        <f t="shared" si="14"/>
        <v>5</v>
      </c>
      <c r="AA17" s="4">
        <f t="shared" si="15"/>
        <v>5</v>
      </c>
      <c r="AB17" s="4">
        <f t="shared" si="16"/>
        <v>0</v>
      </c>
      <c r="AC17" s="14">
        <f t="shared" si="17"/>
        <v>36</v>
      </c>
      <c r="AD17" s="15">
        <f t="shared" si="18"/>
        <v>41.25</v>
      </c>
      <c r="AE17" s="9">
        <f>_xlfn.XLOOKUP(A17,Teachers!A:A,Teachers!C:C,,,)</f>
        <v>40</v>
      </c>
      <c r="AF17" s="10">
        <f t="shared" si="19"/>
        <v>1</v>
      </c>
      <c r="AG17" s="20"/>
    </row>
    <row r="18" spans="1:33" ht="18.75" customHeight="1" x14ac:dyDescent="0.25">
      <c r="A18" s="4">
        <v>119960</v>
      </c>
      <c r="B18" s="11" t="s">
        <v>29</v>
      </c>
      <c r="C18" s="4">
        <v>10</v>
      </c>
      <c r="D18" s="12">
        <f>_xlfn.XLOOKUP($A18,Enrolment!$A:$A,Enrolment!C:C,,,)</f>
        <v>149</v>
      </c>
      <c r="E18" s="12">
        <f>_xlfn.XLOOKUP($A18,Enrolment!$A:$A,Enrolment!D:D,,,)</f>
        <v>142</v>
      </c>
      <c r="F18" s="12">
        <f>_xlfn.XLOOKUP($A18,Enrolment!$A:$A,Enrolment!E:E,,,)</f>
        <v>126</v>
      </c>
      <c r="G18" s="12">
        <f>_xlfn.XLOOKUP($A18,Enrolment!$A:$A,Enrolment!F:F,,,)</f>
        <v>126</v>
      </c>
      <c r="H18" s="12">
        <f>_xlfn.XLOOKUP($A18,Enrolment!$A:$A,Enrolment!G:G,,,)</f>
        <v>105</v>
      </c>
      <c r="I18" s="12">
        <f>_xlfn.XLOOKUP($A18,Enrolment!$A:$A,Enrolment!H:H,,,)</f>
        <v>117</v>
      </c>
      <c r="J18" s="12">
        <f>_xlfn.XLOOKUP($A18,Enrolment!$A:$A,Enrolment!I:I,,,)</f>
        <v>136</v>
      </c>
      <c r="K18" s="9">
        <f>_xlfn.XLOOKUP(A18,Enrolment!$A:$A,Enrolment!J:J,,,)</f>
        <v>0</v>
      </c>
      <c r="L18" s="13">
        <f t="shared" si="7"/>
        <v>901</v>
      </c>
      <c r="M18" s="4">
        <f t="shared" si="8"/>
        <v>50</v>
      </c>
      <c r="N18" s="4">
        <f t="shared" si="0"/>
        <v>28</v>
      </c>
      <c r="O18" s="4">
        <f t="shared" si="1"/>
        <v>32</v>
      </c>
      <c r="P18" s="4">
        <f t="shared" si="2"/>
        <v>32</v>
      </c>
      <c r="Q18" s="4">
        <f t="shared" si="3"/>
        <v>35</v>
      </c>
      <c r="R18" s="4">
        <f t="shared" si="4"/>
        <v>39</v>
      </c>
      <c r="S18" s="4">
        <f t="shared" si="5"/>
        <v>34</v>
      </c>
      <c r="T18" s="7">
        <f t="shared" si="6"/>
        <v>250</v>
      </c>
      <c r="U18" s="4">
        <f t="shared" si="9"/>
        <v>3</v>
      </c>
      <c r="V18" s="4">
        <f t="shared" si="10"/>
        <v>5</v>
      </c>
      <c r="W18" s="4">
        <f t="shared" si="11"/>
        <v>4</v>
      </c>
      <c r="X18" s="4">
        <f t="shared" si="12"/>
        <v>4</v>
      </c>
      <c r="Y18" s="4">
        <f t="shared" si="13"/>
        <v>3</v>
      </c>
      <c r="Z18" s="4">
        <f t="shared" si="14"/>
        <v>3</v>
      </c>
      <c r="AA18" s="4">
        <f t="shared" si="15"/>
        <v>4</v>
      </c>
      <c r="AB18" s="4">
        <f t="shared" si="16"/>
        <v>0</v>
      </c>
      <c r="AC18" s="14">
        <f t="shared" si="17"/>
        <v>26</v>
      </c>
      <c r="AD18" s="15">
        <f t="shared" si="18"/>
        <v>29.5</v>
      </c>
      <c r="AE18" s="9">
        <f>_xlfn.XLOOKUP(A18,Teachers!A:A,Teachers!C:C,,,)</f>
        <v>28</v>
      </c>
      <c r="AF18" s="10">
        <f t="shared" si="19"/>
        <v>2</v>
      </c>
      <c r="AG18" s="20"/>
    </row>
    <row r="19" spans="1:33" ht="18.75" customHeight="1" x14ac:dyDescent="0.25">
      <c r="A19" s="4">
        <v>119970</v>
      </c>
      <c r="B19" s="11" t="s">
        <v>30</v>
      </c>
      <c r="C19" s="4">
        <v>3</v>
      </c>
      <c r="D19" s="12">
        <f>_xlfn.XLOOKUP($A19,Enrolment!$A:$A,Enrolment!C:C,,,)</f>
        <v>342</v>
      </c>
      <c r="E19" s="12">
        <f>_xlfn.XLOOKUP($A19,Enrolment!$A:$A,Enrolment!D:D,,,)</f>
        <v>326</v>
      </c>
      <c r="F19" s="12">
        <f>_xlfn.XLOOKUP($A19,Enrolment!$A:$A,Enrolment!E:E,,,)</f>
        <v>285</v>
      </c>
      <c r="G19" s="12">
        <f>_xlfn.XLOOKUP($A19,Enrolment!$A:$A,Enrolment!F:F,,,)</f>
        <v>342</v>
      </c>
      <c r="H19" s="12">
        <f>_xlfn.XLOOKUP($A19,Enrolment!$A:$A,Enrolment!G:G,,,)</f>
        <v>343</v>
      </c>
      <c r="I19" s="12">
        <f>_xlfn.XLOOKUP($A19,Enrolment!$A:$A,Enrolment!H:H,,,)</f>
        <v>423</v>
      </c>
      <c r="J19" s="12">
        <f>_xlfn.XLOOKUP($A19,Enrolment!$A:$A,Enrolment!I:I,,,)</f>
        <v>369</v>
      </c>
      <c r="K19" s="9">
        <f>_xlfn.XLOOKUP(A19,Enrolment!$A:$A,Enrolment!J:J,,,)</f>
        <v>0</v>
      </c>
      <c r="L19" s="13">
        <f t="shared" si="7"/>
        <v>2430</v>
      </c>
      <c r="M19" s="4">
        <f t="shared" si="8"/>
        <v>49</v>
      </c>
      <c r="N19" s="4">
        <f t="shared" si="0"/>
        <v>33</v>
      </c>
      <c r="O19" s="4">
        <f t="shared" si="1"/>
        <v>32</v>
      </c>
      <c r="P19" s="4">
        <f t="shared" si="2"/>
        <v>31</v>
      </c>
      <c r="Q19" s="4">
        <f t="shared" si="3"/>
        <v>43</v>
      </c>
      <c r="R19" s="4">
        <f t="shared" si="4"/>
        <v>42</v>
      </c>
      <c r="S19" s="4">
        <f t="shared" si="5"/>
        <v>41</v>
      </c>
      <c r="T19" s="7">
        <f t="shared" si="6"/>
        <v>271</v>
      </c>
      <c r="U19" s="4">
        <f t="shared" si="9"/>
        <v>7</v>
      </c>
      <c r="V19" s="4">
        <f t="shared" si="10"/>
        <v>10</v>
      </c>
      <c r="W19" s="4">
        <f t="shared" si="11"/>
        <v>9</v>
      </c>
      <c r="X19" s="4">
        <f t="shared" si="12"/>
        <v>11</v>
      </c>
      <c r="Y19" s="4">
        <f t="shared" si="13"/>
        <v>8</v>
      </c>
      <c r="Z19" s="4">
        <f t="shared" si="14"/>
        <v>10</v>
      </c>
      <c r="AA19" s="4">
        <f t="shared" si="15"/>
        <v>9</v>
      </c>
      <c r="AB19" s="4">
        <f t="shared" si="16"/>
        <v>0</v>
      </c>
      <c r="AC19" s="14">
        <f t="shared" si="17"/>
        <v>64</v>
      </c>
      <c r="AD19" s="15">
        <f t="shared" si="18"/>
        <v>73.5</v>
      </c>
      <c r="AE19" s="9">
        <f>_xlfn.XLOOKUP(A19,Teachers!A:A,Teachers!C:C,,,)</f>
        <v>73</v>
      </c>
      <c r="AF19" s="10">
        <f t="shared" si="19"/>
        <v>1</v>
      </c>
      <c r="AG19" s="20"/>
    </row>
    <row r="20" spans="1:33" ht="18.75" customHeight="1" x14ac:dyDescent="0.25">
      <c r="A20" s="4">
        <v>119963</v>
      </c>
      <c r="B20" s="11" t="s">
        <v>31</v>
      </c>
      <c r="C20" s="4">
        <v>2</v>
      </c>
      <c r="D20" s="12">
        <f>_xlfn.XLOOKUP($A20,Enrolment!$A:$A,Enrolment!C:C,,,)</f>
        <v>507</v>
      </c>
      <c r="E20" s="12">
        <f>_xlfn.XLOOKUP($A20,Enrolment!$A:$A,Enrolment!D:D,,,)</f>
        <v>483</v>
      </c>
      <c r="F20" s="12">
        <f>_xlfn.XLOOKUP($A20,Enrolment!$A:$A,Enrolment!E:E,,,)</f>
        <v>450</v>
      </c>
      <c r="G20" s="12">
        <f>_xlfn.XLOOKUP($A20,Enrolment!$A:$A,Enrolment!F:F,,,)</f>
        <v>498</v>
      </c>
      <c r="H20" s="12">
        <f>_xlfn.XLOOKUP($A20,Enrolment!$A:$A,Enrolment!G:G,,,)</f>
        <v>526</v>
      </c>
      <c r="I20" s="12">
        <f>_xlfn.XLOOKUP($A20,Enrolment!$A:$A,Enrolment!H:H,,,)</f>
        <v>607</v>
      </c>
      <c r="J20" s="12">
        <f>_xlfn.XLOOKUP($A20,Enrolment!$A:$A,Enrolment!I:I,,,)</f>
        <v>566</v>
      </c>
      <c r="K20" s="9">
        <f>_xlfn.XLOOKUP(A20,Enrolment!$A:$A,Enrolment!J:J,,,)</f>
        <v>0</v>
      </c>
      <c r="L20" s="13">
        <f t="shared" si="7"/>
        <v>3637</v>
      </c>
      <c r="M20" s="4">
        <f t="shared" si="8"/>
        <v>51</v>
      </c>
      <c r="N20" s="4">
        <f t="shared" si="0"/>
        <v>32</v>
      </c>
      <c r="O20" s="4">
        <f t="shared" si="1"/>
        <v>32</v>
      </c>
      <c r="P20" s="4">
        <f t="shared" si="2"/>
        <v>31</v>
      </c>
      <c r="Q20" s="4">
        <f t="shared" si="3"/>
        <v>40</v>
      </c>
      <c r="R20" s="4">
        <f t="shared" si="4"/>
        <v>40</v>
      </c>
      <c r="S20" s="4">
        <f t="shared" si="5"/>
        <v>40</v>
      </c>
      <c r="T20" s="7">
        <f t="shared" si="6"/>
        <v>266</v>
      </c>
      <c r="U20" s="4">
        <f t="shared" si="9"/>
        <v>10</v>
      </c>
      <c r="V20" s="4">
        <f t="shared" si="10"/>
        <v>15</v>
      </c>
      <c r="W20" s="4">
        <f t="shared" si="11"/>
        <v>14</v>
      </c>
      <c r="X20" s="4">
        <f t="shared" si="12"/>
        <v>16</v>
      </c>
      <c r="Y20" s="4">
        <f t="shared" si="13"/>
        <v>13</v>
      </c>
      <c r="Z20" s="4">
        <f t="shared" si="14"/>
        <v>15</v>
      </c>
      <c r="AA20" s="4">
        <f t="shared" si="15"/>
        <v>14</v>
      </c>
      <c r="AB20" s="4">
        <f t="shared" si="16"/>
        <v>0</v>
      </c>
      <c r="AC20" s="14">
        <f t="shared" si="17"/>
        <v>97</v>
      </c>
      <c r="AD20" s="15">
        <f t="shared" si="18"/>
        <v>111.5</v>
      </c>
      <c r="AE20" s="9">
        <f>_xlfn.XLOOKUP(A20,Teachers!A:A,Teachers!C:C,,,)</f>
        <v>105</v>
      </c>
      <c r="AF20" s="10">
        <f t="shared" si="19"/>
        <v>7</v>
      </c>
      <c r="AG20" s="20"/>
    </row>
    <row r="21" spans="1:33" ht="18.75" customHeight="1" x14ac:dyDescent="0.25">
      <c r="A21" s="4">
        <v>119983</v>
      </c>
      <c r="B21" s="11" t="s">
        <v>32</v>
      </c>
      <c r="C21" s="4">
        <v>6</v>
      </c>
      <c r="D21" s="12">
        <f>_xlfn.XLOOKUP($A21,Enrolment!$A:$A,Enrolment!C:C,,,)</f>
        <v>248</v>
      </c>
      <c r="E21" s="12">
        <f>_xlfn.XLOOKUP($A21,Enrolment!$A:$A,Enrolment!D:D,,,)</f>
        <v>236</v>
      </c>
      <c r="F21" s="12">
        <f>_xlfn.XLOOKUP($A21,Enrolment!$A:$A,Enrolment!E:E,,,)</f>
        <v>214</v>
      </c>
      <c r="G21" s="12">
        <f>_xlfn.XLOOKUP($A21,Enrolment!$A:$A,Enrolment!F:F,,,)</f>
        <v>237</v>
      </c>
      <c r="H21" s="12">
        <f>_xlfn.XLOOKUP($A21,Enrolment!$A:$A,Enrolment!G:G,,,)</f>
        <v>232</v>
      </c>
      <c r="I21" s="12">
        <f>_xlfn.XLOOKUP($A21,Enrolment!$A:$A,Enrolment!H:H,,,)</f>
        <v>281</v>
      </c>
      <c r="J21" s="12">
        <f>_xlfn.XLOOKUP($A21,Enrolment!$A:$A,Enrolment!I:I,,,)</f>
        <v>223</v>
      </c>
      <c r="K21" s="9">
        <f>_xlfn.XLOOKUP(A21,Enrolment!$A:$A,Enrolment!J:J,,,)</f>
        <v>0</v>
      </c>
      <c r="L21" s="13">
        <f t="shared" si="7"/>
        <v>1671</v>
      </c>
      <c r="M21" s="4">
        <f t="shared" si="8"/>
        <v>50</v>
      </c>
      <c r="N21" s="4">
        <f t="shared" si="0"/>
        <v>30</v>
      </c>
      <c r="O21" s="4">
        <f t="shared" si="1"/>
        <v>31</v>
      </c>
      <c r="P21" s="4">
        <f t="shared" si="2"/>
        <v>30</v>
      </c>
      <c r="Q21" s="4">
        <f t="shared" si="3"/>
        <v>39</v>
      </c>
      <c r="R21" s="4">
        <f t="shared" si="4"/>
        <v>40</v>
      </c>
      <c r="S21" s="4">
        <f t="shared" si="5"/>
        <v>37</v>
      </c>
      <c r="T21" s="7">
        <f t="shared" si="6"/>
        <v>257</v>
      </c>
      <c r="U21" s="4">
        <f t="shared" si="9"/>
        <v>5</v>
      </c>
      <c r="V21" s="4">
        <f t="shared" si="10"/>
        <v>8</v>
      </c>
      <c r="W21" s="4">
        <f t="shared" si="11"/>
        <v>7</v>
      </c>
      <c r="X21" s="4">
        <f t="shared" si="12"/>
        <v>8</v>
      </c>
      <c r="Y21" s="4">
        <f t="shared" si="13"/>
        <v>6</v>
      </c>
      <c r="Z21" s="4">
        <f t="shared" si="14"/>
        <v>7</v>
      </c>
      <c r="AA21" s="4">
        <f t="shared" si="15"/>
        <v>6</v>
      </c>
      <c r="AB21" s="4">
        <f t="shared" si="16"/>
        <v>0</v>
      </c>
      <c r="AC21" s="14">
        <f t="shared" si="17"/>
        <v>47</v>
      </c>
      <c r="AD21" s="15">
        <f t="shared" si="18"/>
        <v>53.75</v>
      </c>
      <c r="AE21" s="9">
        <f>_xlfn.XLOOKUP(A21,Teachers!A:A,Teachers!C:C,,,)</f>
        <v>50</v>
      </c>
      <c r="AF21" s="10">
        <f t="shared" si="19"/>
        <v>4</v>
      </c>
      <c r="AG21" s="20"/>
    </row>
    <row r="22" spans="1:33" ht="18.75" customHeight="1" x14ac:dyDescent="0.25">
      <c r="A22" s="4">
        <v>119973</v>
      </c>
      <c r="B22" s="11" t="s">
        <v>33</v>
      </c>
      <c r="C22" s="4">
        <v>4</v>
      </c>
      <c r="D22" s="12">
        <f>_xlfn.XLOOKUP($A22,Enrolment!$A:$A,Enrolment!C:C,,,)</f>
        <v>235</v>
      </c>
      <c r="E22" s="12">
        <f>_xlfn.XLOOKUP($A22,Enrolment!$A:$A,Enrolment!D:D,,,)</f>
        <v>224</v>
      </c>
      <c r="F22" s="12">
        <f>_xlfn.XLOOKUP($A22,Enrolment!$A:$A,Enrolment!E:E,,,)</f>
        <v>191</v>
      </c>
      <c r="G22" s="12">
        <f>_xlfn.XLOOKUP($A22,Enrolment!$A:$A,Enrolment!F:F,,,)</f>
        <v>199</v>
      </c>
      <c r="H22" s="12">
        <f>_xlfn.XLOOKUP($A22,Enrolment!$A:$A,Enrolment!G:G,,,)</f>
        <v>205</v>
      </c>
      <c r="I22" s="12">
        <f>_xlfn.XLOOKUP($A22,Enrolment!$A:$A,Enrolment!H:H,,,)</f>
        <v>236</v>
      </c>
      <c r="J22" s="12">
        <f>_xlfn.XLOOKUP($A22,Enrolment!$A:$A,Enrolment!I:I,,,)</f>
        <v>202</v>
      </c>
      <c r="K22" s="9">
        <f>_xlfn.XLOOKUP(A22,Enrolment!$A:$A,Enrolment!J:J,,,)</f>
        <v>0</v>
      </c>
      <c r="L22" s="13">
        <f t="shared" si="7"/>
        <v>1492</v>
      </c>
      <c r="M22" s="4">
        <f t="shared" si="8"/>
        <v>47</v>
      </c>
      <c r="N22" s="4">
        <f t="shared" si="0"/>
        <v>32</v>
      </c>
      <c r="O22" s="4">
        <f t="shared" si="1"/>
        <v>32</v>
      </c>
      <c r="P22" s="4">
        <f t="shared" si="2"/>
        <v>28</v>
      </c>
      <c r="Q22" s="4">
        <f t="shared" si="3"/>
        <v>41</v>
      </c>
      <c r="R22" s="4">
        <f t="shared" si="4"/>
        <v>39</v>
      </c>
      <c r="S22" s="4">
        <f t="shared" si="5"/>
        <v>40</v>
      </c>
      <c r="T22" s="7">
        <f t="shared" si="6"/>
        <v>259</v>
      </c>
      <c r="U22" s="4">
        <f t="shared" si="9"/>
        <v>5</v>
      </c>
      <c r="V22" s="4">
        <f t="shared" si="10"/>
        <v>7</v>
      </c>
      <c r="W22" s="4">
        <f t="shared" si="11"/>
        <v>6</v>
      </c>
      <c r="X22" s="4">
        <f t="shared" si="12"/>
        <v>7</v>
      </c>
      <c r="Y22" s="4">
        <f t="shared" si="13"/>
        <v>5</v>
      </c>
      <c r="Z22" s="4">
        <f t="shared" si="14"/>
        <v>6</v>
      </c>
      <c r="AA22" s="4">
        <f t="shared" si="15"/>
        <v>5</v>
      </c>
      <c r="AB22" s="4">
        <f t="shared" si="16"/>
        <v>0</v>
      </c>
      <c r="AC22" s="14">
        <f t="shared" si="17"/>
        <v>41</v>
      </c>
      <c r="AD22" s="15">
        <f t="shared" si="18"/>
        <v>46.75</v>
      </c>
      <c r="AE22" s="9">
        <f>_xlfn.XLOOKUP(A22,Teachers!A:A,Teachers!C:C,,,)</f>
        <v>42</v>
      </c>
      <c r="AF22" s="10">
        <f t="shared" si="19"/>
        <v>5</v>
      </c>
      <c r="AG22" s="20"/>
    </row>
    <row r="23" spans="1:33" ht="18.75" customHeight="1" x14ac:dyDescent="0.25">
      <c r="A23" s="4">
        <v>119976</v>
      </c>
      <c r="B23" s="11" t="s">
        <v>34</v>
      </c>
      <c r="C23" s="4">
        <v>4</v>
      </c>
      <c r="D23" s="12">
        <f>_xlfn.XLOOKUP($A23,Enrolment!$A:$A,Enrolment!C:C,,,)</f>
        <v>231</v>
      </c>
      <c r="E23" s="12">
        <f>_xlfn.XLOOKUP($A23,Enrolment!$A:$A,Enrolment!D:D,,,)</f>
        <v>220</v>
      </c>
      <c r="F23" s="12">
        <f>_xlfn.XLOOKUP($A23,Enrolment!$A:$A,Enrolment!E:E,,,)</f>
        <v>168</v>
      </c>
      <c r="G23" s="12">
        <f>_xlfn.XLOOKUP($A23,Enrolment!$A:$A,Enrolment!F:F,,,)</f>
        <v>194</v>
      </c>
      <c r="H23" s="12">
        <f>_xlfn.XLOOKUP($A23,Enrolment!$A:$A,Enrolment!G:G,,,)</f>
        <v>202</v>
      </c>
      <c r="I23" s="12">
        <f>_xlfn.XLOOKUP($A23,Enrolment!$A:$A,Enrolment!H:H,,,)</f>
        <v>203</v>
      </c>
      <c r="J23" s="12">
        <f>_xlfn.XLOOKUP($A23,Enrolment!$A:$A,Enrolment!I:I,,,)</f>
        <v>192</v>
      </c>
      <c r="K23" s="9">
        <f>_xlfn.XLOOKUP(A23,Enrolment!$A:$A,Enrolment!J:J,,,)</f>
        <v>0</v>
      </c>
      <c r="L23" s="13">
        <f t="shared" si="7"/>
        <v>1410</v>
      </c>
      <c r="M23" s="4">
        <f t="shared" si="8"/>
        <v>46</v>
      </c>
      <c r="N23" s="4">
        <f t="shared" si="0"/>
        <v>31</v>
      </c>
      <c r="O23" s="4">
        <f t="shared" si="1"/>
        <v>28</v>
      </c>
      <c r="P23" s="4">
        <f t="shared" si="2"/>
        <v>32</v>
      </c>
      <c r="Q23" s="4">
        <f t="shared" si="3"/>
        <v>40</v>
      </c>
      <c r="R23" s="4">
        <f t="shared" si="4"/>
        <v>41</v>
      </c>
      <c r="S23" s="4">
        <f t="shared" si="5"/>
        <v>38</v>
      </c>
      <c r="T23" s="7">
        <f t="shared" si="6"/>
        <v>256</v>
      </c>
      <c r="U23" s="4">
        <f t="shared" si="9"/>
        <v>5</v>
      </c>
      <c r="V23" s="4">
        <f t="shared" si="10"/>
        <v>7</v>
      </c>
      <c r="W23" s="4">
        <f t="shared" si="11"/>
        <v>6</v>
      </c>
      <c r="X23" s="4">
        <f t="shared" si="12"/>
        <v>6</v>
      </c>
      <c r="Y23" s="4">
        <f t="shared" si="13"/>
        <v>5</v>
      </c>
      <c r="Z23" s="4">
        <f t="shared" si="14"/>
        <v>5</v>
      </c>
      <c r="AA23" s="4">
        <f t="shared" si="15"/>
        <v>5</v>
      </c>
      <c r="AB23" s="4">
        <f t="shared" si="16"/>
        <v>0</v>
      </c>
      <c r="AC23" s="14">
        <f t="shared" si="17"/>
        <v>39</v>
      </c>
      <c r="AD23" s="15">
        <f t="shared" si="18"/>
        <v>44.25</v>
      </c>
      <c r="AE23" s="9">
        <f>_xlfn.XLOOKUP(A23,Teachers!A:A,Teachers!C:C,,,)</f>
        <v>39</v>
      </c>
      <c r="AF23" s="10">
        <f t="shared" si="19"/>
        <v>5</v>
      </c>
      <c r="AG23" s="20"/>
    </row>
    <row r="24" spans="1:33" ht="18.75" customHeight="1" x14ac:dyDescent="0.25">
      <c r="A24" s="4">
        <v>119958</v>
      </c>
      <c r="B24" s="11" t="s">
        <v>35</v>
      </c>
      <c r="C24" s="4">
        <v>9</v>
      </c>
      <c r="D24" s="12">
        <f>_xlfn.XLOOKUP($A24,Enrolment!$A:$A,Enrolment!C:C,,,)</f>
        <v>121</v>
      </c>
      <c r="E24" s="12">
        <f>_xlfn.XLOOKUP($A24,Enrolment!$A:$A,Enrolment!D:D,,,)</f>
        <v>115</v>
      </c>
      <c r="F24" s="12">
        <f>_xlfn.XLOOKUP($A24,Enrolment!$A:$A,Enrolment!E:E,,,)</f>
        <v>117</v>
      </c>
      <c r="G24" s="12">
        <f>_xlfn.XLOOKUP($A24,Enrolment!$A:$A,Enrolment!F:F,,,)</f>
        <v>119</v>
      </c>
      <c r="H24" s="12">
        <f>_xlfn.XLOOKUP($A24,Enrolment!$A:$A,Enrolment!G:G,,,)</f>
        <v>109</v>
      </c>
      <c r="I24" s="12">
        <f>_xlfn.XLOOKUP($A24,Enrolment!$A:$A,Enrolment!H:H,,,)</f>
        <v>114</v>
      </c>
      <c r="J24" s="12">
        <f>_xlfn.XLOOKUP($A24,Enrolment!$A:$A,Enrolment!I:I,,,)</f>
        <v>150</v>
      </c>
      <c r="K24" s="9">
        <f>_xlfn.XLOOKUP(A24,Enrolment!$A:$A,Enrolment!J:J,,,)</f>
        <v>0</v>
      </c>
      <c r="L24" s="13">
        <f t="shared" si="7"/>
        <v>845</v>
      </c>
      <c r="M24" s="4">
        <f t="shared" si="8"/>
        <v>40</v>
      </c>
      <c r="N24" s="4">
        <f t="shared" si="0"/>
        <v>29</v>
      </c>
      <c r="O24" s="4">
        <f t="shared" si="1"/>
        <v>29</v>
      </c>
      <c r="P24" s="4">
        <f t="shared" si="2"/>
        <v>30</v>
      </c>
      <c r="Q24" s="4">
        <f t="shared" si="3"/>
        <v>36</v>
      </c>
      <c r="R24" s="4">
        <f t="shared" si="4"/>
        <v>38</v>
      </c>
      <c r="S24" s="4">
        <f t="shared" si="5"/>
        <v>38</v>
      </c>
      <c r="T24" s="7">
        <f t="shared" si="6"/>
        <v>240</v>
      </c>
      <c r="U24" s="4">
        <f t="shared" si="9"/>
        <v>3</v>
      </c>
      <c r="V24" s="4">
        <f t="shared" si="10"/>
        <v>4</v>
      </c>
      <c r="W24" s="4">
        <f t="shared" si="11"/>
        <v>4</v>
      </c>
      <c r="X24" s="4">
        <f t="shared" si="12"/>
        <v>4</v>
      </c>
      <c r="Y24" s="4">
        <f t="shared" si="13"/>
        <v>3</v>
      </c>
      <c r="Z24" s="4">
        <f t="shared" si="14"/>
        <v>3</v>
      </c>
      <c r="AA24" s="4">
        <f t="shared" si="15"/>
        <v>4</v>
      </c>
      <c r="AB24" s="4">
        <f t="shared" si="16"/>
        <v>0</v>
      </c>
      <c r="AC24" s="14">
        <f t="shared" si="17"/>
        <v>25</v>
      </c>
      <c r="AD24" s="15">
        <f t="shared" si="18"/>
        <v>28.5</v>
      </c>
      <c r="AE24" s="9">
        <f>_xlfn.XLOOKUP(A24,Teachers!A:A,Teachers!C:C,,,)</f>
        <v>25</v>
      </c>
      <c r="AF24" s="10">
        <f t="shared" si="19"/>
        <v>4</v>
      </c>
      <c r="AG24" s="20"/>
    </row>
    <row r="25" spans="1:33" ht="18.75" customHeight="1" x14ac:dyDescent="0.25">
      <c r="A25" s="4">
        <v>119957</v>
      </c>
      <c r="B25" s="11" t="s">
        <v>36</v>
      </c>
      <c r="C25" s="4">
        <v>9</v>
      </c>
      <c r="D25" s="12">
        <f>_xlfn.XLOOKUP($A25,Enrolment!$A:$A,Enrolment!C:C,,,)</f>
        <v>156</v>
      </c>
      <c r="E25" s="12">
        <f>_xlfn.XLOOKUP($A25,Enrolment!$A:$A,Enrolment!D:D,,,)</f>
        <v>149</v>
      </c>
      <c r="F25" s="12">
        <f>_xlfn.XLOOKUP($A25,Enrolment!$A:$A,Enrolment!E:E,,,)</f>
        <v>129</v>
      </c>
      <c r="G25" s="12">
        <f>_xlfn.XLOOKUP($A25,Enrolment!$A:$A,Enrolment!F:F,,,)</f>
        <v>143</v>
      </c>
      <c r="H25" s="12">
        <f>_xlfn.XLOOKUP($A25,Enrolment!$A:$A,Enrolment!G:G,,,)</f>
        <v>157</v>
      </c>
      <c r="I25" s="12">
        <f>_xlfn.XLOOKUP($A25,Enrolment!$A:$A,Enrolment!H:H,,,)</f>
        <v>142</v>
      </c>
      <c r="J25" s="12">
        <f>_xlfn.XLOOKUP($A25,Enrolment!$A:$A,Enrolment!I:I,,,)</f>
        <v>138</v>
      </c>
      <c r="K25" s="9">
        <f>_xlfn.XLOOKUP(A25,Enrolment!$A:$A,Enrolment!J:J,,,)</f>
        <v>0</v>
      </c>
      <c r="L25" s="13">
        <f t="shared" si="7"/>
        <v>1014</v>
      </c>
      <c r="M25" s="4">
        <f t="shared" si="8"/>
        <v>52</v>
      </c>
      <c r="N25" s="4">
        <f t="shared" si="0"/>
        <v>30</v>
      </c>
      <c r="O25" s="4">
        <f t="shared" si="1"/>
        <v>32</v>
      </c>
      <c r="P25" s="4">
        <f t="shared" si="2"/>
        <v>29</v>
      </c>
      <c r="Q25" s="4">
        <f t="shared" si="3"/>
        <v>39</v>
      </c>
      <c r="R25" s="4">
        <f t="shared" si="4"/>
        <v>36</v>
      </c>
      <c r="S25" s="4">
        <f t="shared" si="5"/>
        <v>35</v>
      </c>
      <c r="T25" s="7">
        <f t="shared" si="6"/>
        <v>253</v>
      </c>
      <c r="U25" s="4">
        <f t="shared" si="9"/>
        <v>3</v>
      </c>
      <c r="V25" s="4">
        <f t="shared" si="10"/>
        <v>5</v>
      </c>
      <c r="W25" s="4">
        <f t="shared" si="11"/>
        <v>4</v>
      </c>
      <c r="X25" s="4">
        <f t="shared" si="12"/>
        <v>5</v>
      </c>
      <c r="Y25" s="4">
        <f t="shared" si="13"/>
        <v>4</v>
      </c>
      <c r="Z25" s="4">
        <f t="shared" si="14"/>
        <v>4</v>
      </c>
      <c r="AA25" s="4">
        <f t="shared" si="15"/>
        <v>4</v>
      </c>
      <c r="AB25" s="4">
        <f t="shared" si="16"/>
        <v>0</v>
      </c>
      <c r="AC25" s="14">
        <f t="shared" si="17"/>
        <v>29</v>
      </c>
      <c r="AD25" s="15">
        <f t="shared" si="18"/>
        <v>33.25</v>
      </c>
      <c r="AE25" s="9">
        <f>_xlfn.XLOOKUP(A25,Teachers!A:A,Teachers!C:C,,,)</f>
        <v>31</v>
      </c>
      <c r="AF25" s="10">
        <f t="shared" si="19"/>
        <v>2</v>
      </c>
      <c r="AG25" s="20"/>
    </row>
    <row r="26" spans="1:33" ht="18.75" customHeight="1" x14ac:dyDescent="0.25">
      <c r="A26" s="4">
        <v>119993</v>
      </c>
      <c r="B26" s="11" t="s">
        <v>37</v>
      </c>
      <c r="C26" s="4">
        <v>7</v>
      </c>
      <c r="D26" s="12">
        <f>_xlfn.XLOOKUP($A26,Enrolment!$A:$A,Enrolment!C:C,,,)</f>
        <v>79</v>
      </c>
      <c r="E26" s="12">
        <f>_xlfn.XLOOKUP($A26,Enrolment!$A:$A,Enrolment!D:D,,,)</f>
        <v>75</v>
      </c>
      <c r="F26" s="12">
        <f>_xlfn.XLOOKUP($A26,Enrolment!$A:$A,Enrolment!E:E,,,)</f>
        <v>84</v>
      </c>
      <c r="G26" s="12">
        <f>_xlfn.XLOOKUP($A26,Enrolment!$A:$A,Enrolment!F:F,,,)</f>
        <v>104</v>
      </c>
      <c r="H26" s="12">
        <f>_xlfn.XLOOKUP($A26,Enrolment!$A:$A,Enrolment!G:G,,,)</f>
        <v>108</v>
      </c>
      <c r="I26" s="12">
        <f>_xlfn.XLOOKUP($A26,Enrolment!$A:$A,Enrolment!H:H,,,)</f>
        <v>79</v>
      </c>
      <c r="J26" s="12">
        <f>_xlfn.XLOOKUP($A26,Enrolment!$A:$A,Enrolment!I:I,,,)</f>
        <v>101</v>
      </c>
      <c r="K26" s="9">
        <f>_xlfn.XLOOKUP(A26,Enrolment!$A:$A,Enrolment!J:J,,,)</f>
        <v>0</v>
      </c>
      <c r="L26" s="13">
        <f t="shared" si="7"/>
        <v>630</v>
      </c>
      <c r="M26" s="4">
        <f t="shared" si="8"/>
        <v>40</v>
      </c>
      <c r="N26" s="4">
        <f t="shared" si="0"/>
        <v>25</v>
      </c>
      <c r="O26" s="4">
        <f t="shared" si="1"/>
        <v>28</v>
      </c>
      <c r="P26" s="4">
        <f t="shared" si="2"/>
        <v>26</v>
      </c>
      <c r="Q26" s="4">
        <f t="shared" si="3"/>
        <v>36</v>
      </c>
      <c r="R26" s="4">
        <f t="shared" si="4"/>
        <v>40</v>
      </c>
      <c r="S26" s="4">
        <f t="shared" si="5"/>
        <v>34</v>
      </c>
      <c r="T26" s="7">
        <f t="shared" si="6"/>
        <v>229</v>
      </c>
      <c r="U26" s="4">
        <f t="shared" si="9"/>
        <v>2</v>
      </c>
      <c r="V26" s="4">
        <f t="shared" si="10"/>
        <v>3</v>
      </c>
      <c r="W26" s="4">
        <f t="shared" si="11"/>
        <v>3</v>
      </c>
      <c r="X26" s="4">
        <f t="shared" si="12"/>
        <v>4</v>
      </c>
      <c r="Y26" s="4">
        <f t="shared" si="13"/>
        <v>3</v>
      </c>
      <c r="Z26" s="4">
        <f t="shared" si="14"/>
        <v>2</v>
      </c>
      <c r="AA26" s="4">
        <f t="shared" si="15"/>
        <v>3</v>
      </c>
      <c r="AB26" s="4">
        <f t="shared" si="16"/>
        <v>0</v>
      </c>
      <c r="AC26" s="14">
        <f t="shared" si="17"/>
        <v>20</v>
      </c>
      <c r="AD26" s="15">
        <f t="shared" si="18"/>
        <v>23</v>
      </c>
      <c r="AE26" s="9">
        <f>_xlfn.XLOOKUP(A26,Teachers!A:A,Teachers!C:C,,,)</f>
        <v>23</v>
      </c>
      <c r="AF26" s="10">
        <f t="shared" si="19"/>
        <v>0</v>
      </c>
      <c r="AG26" s="20"/>
    </row>
    <row r="27" spans="1:33" ht="18.75" customHeight="1" x14ac:dyDescent="0.25">
      <c r="A27" s="4">
        <v>119980</v>
      </c>
      <c r="B27" s="11" t="s">
        <v>38</v>
      </c>
      <c r="C27" s="4">
        <v>4</v>
      </c>
      <c r="D27" s="12">
        <f>_xlfn.XLOOKUP($A27,Enrolment!$A:$A,Enrolment!C:C,,,)</f>
        <v>186</v>
      </c>
      <c r="E27" s="12">
        <f>_xlfn.XLOOKUP($A27,Enrolment!$A:$A,Enrolment!D:D,,,)</f>
        <v>177</v>
      </c>
      <c r="F27" s="12">
        <f>_xlfn.XLOOKUP($A27,Enrolment!$A:$A,Enrolment!E:E,,,)</f>
        <v>130</v>
      </c>
      <c r="G27" s="12">
        <f>_xlfn.XLOOKUP($A27,Enrolment!$A:$A,Enrolment!F:F,,,)</f>
        <v>134</v>
      </c>
      <c r="H27" s="12">
        <f>_xlfn.XLOOKUP($A27,Enrolment!$A:$A,Enrolment!G:G,,,)</f>
        <v>148</v>
      </c>
      <c r="I27" s="12">
        <f>_xlfn.XLOOKUP($A27,Enrolment!$A:$A,Enrolment!H:H,,,)</f>
        <v>161</v>
      </c>
      <c r="J27" s="12">
        <f>_xlfn.XLOOKUP($A27,Enrolment!$A:$A,Enrolment!I:I,,,)</f>
        <v>138</v>
      </c>
      <c r="K27" s="9">
        <f>_xlfn.XLOOKUP(A27,Enrolment!$A:$A,Enrolment!J:J,,,)</f>
        <v>0</v>
      </c>
      <c r="L27" s="13">
        <f t="shared" si="7"/>
        <v>1074</v>
      </c>
      <c r="M27" s="4">
        <f t="shared" si="8"/>
        <v>47</v>
      </c>
      <c r="N27" s="4">
        <f t="shared" si="0"/>
        <v>30</v>
      </c>
      <c r="O27" s="4">
        <f t="shared" si="1"/>
        <v>33</v>
      </c>
      <c r="P27" s="4">
        <f t="shared" si="2"/>
        <v>27</v>
      </c>
      <c r="Q27" s="4">
        <f t="shared" si="3"/>
        <v>37</v>
      </c>
      <c r="R27" s="4">
        <f t="shared" si="4"/>
        <v>40</v>
      </c>
      <c r="S27" s="4">
        <f t="shared" si="5"/>
        <v>35</v>
      </c>
      <c r="T27" s="7">
        <f t="shared" si="6"/>
        <v>249</v>
      </c>
      <c r="U27" s="4">
        <f t="shared" si="9"/>
        <v>4</v>
      </c>
      <c r="V27" s="4">
        <f t="shared" si="10"/>
        <v>6</v>
      </c>
      <c r="W27" s="4">
        <f t="shared" si="11"/>
        <v>4</v>
      </c>
      <c r="X27" s="4">
        <f t="shared" si="12"/>
        <v>5</v>
      </c>
      <c r="Y27" s="4">
        <f t="shared" si="13"/>
        <v>4</v>
      </c>
      <c r="Z27" s="4">
        <f t="shared" si="14"/>
        <v>4</v>
      </c>
      <c r="AA27" s="4">
        <f t="shared" si="15"/>
        <v>4</v>
      </c>
      <c r="AB27" s="4">
        <f t="shared" si="16"/>
        <v>0</v>
      </c>
      <c r="AC27" s="14">
        <f t="shared" si="17"/>
        <v>31</v>
      </c>
      <c r="AD27" s="15">
        <f t="shared" si="18"/>
        <v>35.25</v>
      </c>
      <c r="AE27" s="9">
        <f>_xlfn.XLOOKUP(A27,Teachers!A:A,Teachers!C:C,,,)</f>
        <v>31</v>
      </c>
      <c r="AF27" s="10">
        <f t="shared" si="19"/>
        <v>4</v>
      </c>
      <c r="AG27" s="20"/>
    </row>
    <row r="28" spans="1:33" ht="18.75" customHeight="1" x14ac:dyDescent="0.25">
      <c r="A28" s="4">
        <v>119952</v>
      </c>
      <c r="B28" s="11" t="s">
        <v>39</v>
      </c>
      <c r="C28" s="4">
        <v>10</v>
      </c>
      <c r="D28" s="12">
        <f>_xlfn.XLOOKUP($A28,Enrolment!$A:$A,Enrolment!C:C,,,)</f>
        <v>44</v>
      </c>
      <c r="E28" s="12">
        <f>_xlfn.XLOOKUP($A28,Enrolment!$A:$A,Enrolment!D:D,,,)</f>
        <v>42</v>
      </c>
      <c r="F28" s="12">
        <f>_xlfn.XLOOKUP($A28,Enrolment!$A:$A,Enrolment!E:E,,,)</f>
        <v>34</v>
      </c>
      <c r="G28" s="12">
        <f>_xlfn.XLOOKUP($A28,Enrolment!$A:$A,Enrolment!F:F,,,)</f>
        <v>60</v>
      </c>
      <c r="H28" s="12">
        <f>_xlfn.XLOOKUP($A28,Enrolment!$A:$A,Enrolment!G:G,,,)</f>
        <v>51</v>
      </c>
      <c r="I28" s="12">
        <f>_xlfn.XLOOKUP($A28,Enrolment!$A:$A,Enrolment!H:H,,,)</f>
        <v>47</v>
      </c>
      <c r="J28" s="12">
        <f>_xlfn.XLOOKUP($A28,Enrolment!$A:$A,Enrolment!I:I,,,)</f>
        <v>67</v>
      </c>
      <c r="K28" s="9">
        <f>_xlfn.XLOOKUP(A28,Enrolment!$A:$A,Enrolment!J:J,,,)</f>
        <v>0</v>
      </c>
      <c r="L28" s="13">
        <f t="shared" si="7"/>
        <v>345</v>
      </c>
      <c r="M28" s="4">
        <f t="shared" si="8"/>
        <v>44</v>
      </c>
      <c r="N28" s="4">
        <f t="shared" si="0"/>
        <v>21</v>
      </c>
      <c r="O28" s="4">
        <f t="shared" si="1"/>
        <v>17</v>
      </c>
      <c r="P28" s="4">
        <f t="shared" si="2"/>
        <v>30</v>
      </c>
      <c r="Q28" s="4">
        <f t="shared" si="3"/>
        <v>26</v>
      </c>
      <c r="R28" s="4">
        <f t="shared" si="4"/>
        <v>24</v>
      </c>
      <c r="S28" s="4">
        <f t="shared" si="5"/>
        <v>34</v>
      </c>
      <c r="T28" s="7">
        <f t="shared" si="6"/>
        <v>196</v>
      </c>
      <c r="U28" s="4">
        <f t="shared" si="9"/>
        <v>1</v>
      </c>
      <c r="V28" s="4">
        <f t="shared" si="10"/>
        <v>2</v>
      </c>
      <c r="W28" s="4">
        <f t="shared" si="11"/>
        <v>2</v>
      </c>
      <c r="X28" s="4">
        <f t="shared" si="12"/>
        <v>2</v>
      </c>
      <c r="Y28" s="4">
        <f t="shared" si="13"/>
        <v>2</v>
      </c>
      <c r="Z28" s="4">
        <f t="shared" si="14"/>
        <v>2</v>
      </c>
      <c r="AA28" s="4">
        <f t="shared" si="15"/>
        <v>2</v>
      </c>
      <c r="AB28" s="4">
        <f t="shared" si="16"/>
        <v>0</v>
      </c>
      <c r="AC28" s="14">
        <f t="shared" si="17"/>
        <v>13</v>
      </c>
      <c r="AD28" s="15">
        <f t="shared" si="18"/>
        <v>15</v>
      </c>
      <c r="AE28" s="9">
        <f>_xlfn.XLOOKUP(A28,Teachers!A:A,Teachers!C:C,,,)</f>
        <v>14</v>
      </c>
      <c r="AF28" s="10">
        <f t="shared" si="19"/>
        <v>1</v>
      </c>
      <c r="AG28" s="20"/>
    </row>
    <row r="29" spans="1:33" ht="18.75" customHeight="1" x14ac:dyDescent="0.25">
      <c r="A29" s="4">
        <v>119992</v>
      </c>
      <c r="B29" s="11" t="s">
        <v>40</v>
      </c>
      <c r="C29" s="4">
        <v>8</v>
      </c>
      <c r="D29" s="12">
        <f>_xlfn.XLOOKUP($A29,Enrolment!$A:$A,Enrolment!C:C,,,)</f>
        <v>36</v>
      </c>
      <c r="E29" s="12">
        <f>_xlfn.XLOOKUP($A29,Enrolment!$A:$A,Enrolment!D:D,,,)</f>
        <v>34</v>
      </c>
      <c r="F29" s="12">
        <f>_xlfn.XLOOKUP($A29,Enrolment!$A:$A,Enrolment!E:E,,,)</f>
        <v>40</v>
      </c>
      <c r="G29" s="12">
        <f>_xlfn.XLOOKUP($A29,Enrolment!$A:$A,Enrolment!F:F,,,)</f>
        <v>43</v>
      </c>
      <c r="H29" s="12">
        <f>_xlfn.XLOOKUP($A29,Enrolment!$A:$A,Enrolment!G:G,,,)</f>
        <v>43</v>
      </c>
      <c r="I29" s="12">
        <f>_xlfn.XLOOKUP($A29,Enrolment!$A:$A,Enrolment!H:H,,,)</f>
        <v>46</v>
      </c>
      <c r="J29" s="12">
        <f>_xlfn.XLOOKUP($A29,Enrolment!$A:$A,Enrolment!I:I,,,)</f>
        <v>32</v>
      </c>
      <c r="K29" s="9">
        <f>_xlfn.XLOOKUP(A29,Enrolment!$A:$A,Enrolment!J:J,,,)</f>
        <v>0</v>
      </c>
      <c r="L29" s="13">
        <f t="shared" si="7"/>
        <v>274</v>
      </c>
      <c r="M29" s="4">
        <f t="shared" si="8"/>
        <v>36</v>
      </c>
      <c r="N29" s="4">
        <f t="shared" si="0"/>
        <v>17</v>
      </c>
      <c r="O29" s="4">
        <f t="shared" si="1"/>
        <v>20</v>
      </c>
      <c r="P29" s="4">
        <f t="shared" si="2"/>
        <v>22</v>
      </c>
      <c r="Q29" s="4">
        <f t="shared" si="3"/>
        <v>43</v>
      </c>
      <c r="R29" s="4">
        <f t="shared" si="4"/>
        <v>23</v>
      </c>
      <c r="S29" s="4">
        <f t="shared" si="5"/>
        <v>32</v>
      </c>
      <c r="T29" s="7">
        <f t="shared" si="6"/>
        <v>193</v>
      </c>
      <c r="U29" s="4">
        <f t="shared" si="9"/>
        <v>1</v>
      </c>
      <c r="V29" s="4">
        <f t="shared" si="10"/>
        <v>2</v>
      </c>
      <c r="W29" s="4">
        <f t="shared" si="11"/>
        <v>2</v>
      </c>
      <c r="X29" s="4">
        <f t="shared" si="12"/>
        <v>2</v>
      </c>
      <c r="Y29" s="4">
        <f t="shared" si="13"/>
        <v>1</v>
      </c>
      <c r="Z29" s="4">
        <f t="shared" si="14"/>
        <v>2</v>
      </c>
      <c r="AA29" s="4">
        <f t="shared" si="15"/>
        <v>1</v>
      </c>
      <c r="AB29" s="4">
        <f t="shared" si="16"/>
        <v>0</v>
      </c>
      <c r="AC29" s="14">
        <f t="shared" si="17"/>
        <v>11</v>
      </c>
      <c r="AD29" s="15">
        <f t="shared" si="18"/>
        <v>12.5</v>
      </c>
      <c r="AE29" s="9">
        <f>_xlfn.XLOOKUP(A29,Teachers!A:A,Teachers!C:C,,,)</f>
        <v>12</v>
      </c>
      <c r="AF29" s="10">
        <f t="shared" si="19"/>
        <v>1</v>
      </c>
      <c r="AG29" s="20"/>
    </row>
    <row r="30" spans="1:33" ht="18.75" customHeight="1" x14ac:dyDescent="0.25">
      <c r="A30" s="4">
        <v>119951</v>
      </c>
      <c r="B30" s="11" t="s">
        <v>41</v>
      </c>
      <c r="C30" s="4">
        <v>10</v>
      </c>
      <c r="D30" s="12">
        <f>_xlfn.XLOOKUP($A30,Enrolment!$A:$A,Enrolment!C:C,,,)</f>
        <v>55</v>
      </c>
      <c r="E30" s="12">
        <f>_xlfn.XLOOKUP($A30,Enrolment!$A:$A,Enrolment!D:D,,,)</f>
        <v>52</v>
      </c>
      <c r="F30" s="12">
        <f>_xlfn.XLOOKUP($A30,Enrolment!$A:$A,Enrolment!E:E,,,)</f>
        <v>45</v>
      </c>
      <c r="G30" s="12">
        <f>_xlfn.XLOOKUP($A30,Enrolment!$A:$A,Enrolment!F:F,,,)</f>
        <v>45</v>
      </c>
      <c r="H30" s="12">
        <f>_xlfn.XLOOKUP($A30,Enrolment!$A:$A,Enrolment!G:G,,,)</f>
        <v>40</v>
      </c>
      <c r="I30" s="12">
        <f>_xlfn.XLOOKUP($A30,Enrolment!$A:$A,Enrolment!H:H,,,)</f>
        <v>49</v>
      </c>
      <c r="J30" s="12">
        <f>_xlfn.XLOOKUP($A30,Enrolment!$A:$A,Enrolment!I:I,,,)</f>
        <v>44</v>
      </c>
      <c r="K30" s="9">
        <f>_xlfn.XLOOKUP(A30,Enrolment!$A:$A,Enrolment!J:J,,,)</f>
        <v>0</v>
      </c>
      <c r="L30" s="13">
        <f t="shared" si="7"/>
        <v>330</v>
      </c>
      <c r="M30" s="4">
        <f t="shared" si="8"/>
        <v>55</v>
      </c>
      <c r="N30" s="4">
        <f t="shared" si="0"/>
        <v>26</v>
      </c>
      <c r="O30" s="4">
        <f t="shared" si="1"/>
        <v>23</v>
      </c>
      <c r="P30" s="4">
        <f t="shared" si="2"/>
        <v>23</v>
      </c>
      <c r="Q30" s="4">
        <f t="shared" si="3"/>
        <v>40</v>
      </c>
      <c r="R30" s="4">
        <f t="shared" si="4"/>
        <v>25</v>
      </c>
      <c r="S30" s="4">
        <f t="shared" si="5"/>
        <v>22</v>
      </c>
      <c r="T30" s="7">
        <f t="shared" si="6"/>
        <v>214</v>
      </c>
      <c r="U30" s="4">
        <f t="shared" si="9"/>
        <v>1</v>
      </c>
      <c r="V30" s="4">
        <f t="shared" si="10"/>
        <v>2</v>
      </c>
      <c r="W30" s="4">
        <f t="shared" si="11"/>
        <v>2</v>
      </c>
      <c r="X30" s="4">
        <f t="shared" si="12"/>
        <v>2</v>
      </c>
      <c r="Y30" s="4">
        <f t="shared" si="13"/>
        <v>1</v>
      </c>
      <c r="Z30" s="4">
        <f t="shared" si="14"/>
        <v>2</v>
      </c>
      <c r="AA30" s="4">
        <f t="shared" si="15"/>
        <v>2</v>
      </c>
      <c r="AB30" s="4">
        <f t="shared" si="16"/>
        <v>0</v>
      </c>
      <c r="AC30" s="14">
        <f t="shared" si="17"/>
        <v>12</v>
      </c>
      <c r="AD30" s="15">
        <f t="shared" si="18"/>
        <v>13.75</v>
      </c>
      <c r="AE30" s="9">
        <f>_xlfn.XLOOKUP(A30,Teachers!A:A,Teachers!C:C,,,)</f>
        <v>13</v>
      </c>
      <c r="AF30" s="10">
        <f t="shared" si="19"/>
        <v>1</v>
      </c>
      <c r="AG30" s="20"/>
    </row>
    <row r="31" spans="1:33" ht="18.75" customHeight="1" x14ac:dyDescent="0.25">
      <c r="A31" s="4">
        <v>119971</v>
      </c>
      <c r="B31" s="11" t="s">
        <v>42</v>
      </c>
      <c r="C31" s="4">
        <v>2</v>
      </c>
      <c r="D31" s="12">
        <f>_xlfn.XLOOKUP($A31,Enrolment!$A:$A,Enrolment!C:C,,,)</f>
        <v>436</v>
      </c>
      <c r="E31" s="12">
        <f>_xlfn.XLOOKUP($A31,Enrolment!$A:$A,Enrolment!D:D,,,)</f>
        <v>415</v>
      </c>
      <c r="F31" s="12">
        <f>_xlfn.XLOOKUP($A31,Enrolment!$A:$A,Enrolment!E:E,,,)</f>
        <v>371</v>
      </c>
      <c r="G31" s="12">
        <f>_xlfn.XLOOKUP($A31,Enrolment!$A:$A,Enrolment!F:F,,,)</f>
        <v>421</v>
      </c>
      <c r="H31" s="12">
        <f>_xlfn.XLOOKUP($A31,Enrolment!$A:$A,Enrolment!G:G,,,)</f>
        <v>415</v>
      </c>
      <c r="I31" s="12">
        <f>_xlfn.XLOOKUP($A31,Enrolment!$A:$A,Enrolment!H:H,,,)</f>
        <v>450</v>
      </c>
      <c r="J31" s="12">
        <f>_xlfn.XLOOKUP($A31,Enrolment!$A:$A,Enrolment!I:I,,,)</f>
        <v>437</v>
      </c>
      <c r="K31" s="9">
        <f>_xlfn.XLOOKUP(A31,Enrolment!$A:$A,Enrolment!J:J,,,)</f>
        <v>0</v>
      </c>
      <c r="L31" s="13">
        <f t="shared" si="7"/>
        <v>2945</v>
      </c>
      <c r="M31" s="4">
        <f t="shared" si="8"/>
        <v>55</v>
      </c>
      <c r="N31" s="4">
        <f t="shared" si="0"/>
        <v>32</v>
      </c>
      <c r="O31" s="4">
        <f t="shared" si="1"/>
        <v>31</v>
      </c>
      <c r="P31" s="4">
        <f t="shared" si="2"/>
        <v>32</v>
      </c>
      <c r="Q31" s="4">
        <f t="shared" si="3"/>
        <v>42</v>
      </c>
      <c r="R31" s="4">
        <f t="shared" si="4"/>
        <v>41</v>
      </c>
      <c r="S31" s="4">
        <f t="shared" si="5"/>
        <v>40</v>
      </c>
      <c r="T31" s="7">
        <f t="shared" si="6"/>
        <v>273</v>
      </c>
      <c r="U31" s="4">
        <f t="shared" si="9"/>
        <v>8</v>
      </c>
      <c r="V31" s="4">
        <f t="shared" si="10"/>
        <v>13</v>
      </c>
      <c r="W31" s="4">
        <f t="shared" si="11"/>
        <v>12</v>
      </c>
      <c r="X31" s="4">
        <f t="shared" si="12"/>
        <v>13</v>
      </c>
      <c r="Y31" s="4">
        <f t="shared" si="13"/>
        <v>10</v>
      </c>
      <c r="Z31" s="4">
        <f t="shared" si="14"/>
        <v>11</v>
      </c>
      <c r="AA31" s="4">
        <f t="shared" si="15"/>
        <v>11</v>
      </c>
      <c r="AB31" s="4">
        <f t="shared" si="16"/>
        <v>0</v>
      </c>
      <c r="AC31" s="14">
        <f t="shared" si="17"/>
        <v>78</v>
      </c>
      <c r="AD31" s="15">
        <f t="shared" si="18"/>
        <v>89.25</v>
      </c>
      <c r="AE31" s="9">
        <f>_xlfn.XLOOKUP(A31,Teachers!A:A,Teachers!C:C,,,)</f>
        <v>83</v>
      </c>
      <c r="AF31" s="10">
        <f t="shared" si="19"/>
        <v>6</v>
      </c>
      <c r="AG31" s="20"/>
    </row>
    <row r="32" spans="1:33" ht="18.75" customHeight="1" x14ac:dyDescent="0.25">
      <c r="A32" s="4">
        <v>119969</v>
      </c>
      <c r="B32" s="11" t="s">
        <v>43</v>
      </c>
      <c r="C32" s="4">
        <v>2</v>
      </c>
      <c r="D32" s="12">
        <f>_xlfn.XLOOKUP($A32,Enrolment!$A:$A,Enrolment!C:C,,,)</f>
        <v>240</v>
      </c>
      <c r="E32" s="12">
        <f>_xlfn.XLOOKUP($A32,Enrolment!$A:$A,Enrolment!D:D,,,)</f>
        <v>229</v>
      </c>
      <c r="F32" s="12">
        <f>_xlfn.XLOOKUP($A32,Enrolment!$A:$A,Enrolment!E:E,,,)</f>
        <v>197</v>
      </c>
      <c r="G32" s="12">
        <f>_xlfn.XLOOKUP($A32,Enrolment!$A:$A,Enrolment!F:F,,,)</f>
        <v>221</v>
      </c>
      <c r="H32" s="12">
        <f>_xlfn.XLOOKUP($A32,Enrolment!$A:$A,Enrolment!G:G,,,)</f>
        <v>254</v>
      </c>
      <c r="I32" s="12">
        <f>_xlfn.XLOOKUP($A32,Enrolment!$A:$A,Enrolment!H:H,,,)</f>
        <v>199</v>
      </c>
      <c r="J32" s="12">
        <f>_xlfn.XLOOKUP($A32,Enrolment!$A:$A,Enrolment!I:I,,,)</f>
        <v>218</v>
      </c>
      <c r="K32" s="9">
        <f>_xlfn.XLOOKUP(A32,Enrolment!$A:$A,Enrolment!J:J,,,)</f>
        <v>0</v>
      </c>
      <c r="L32" s="13">
        <f t="shared" si="7"/>
        <v>1558</v>
      </c>
      <c r="M32" s="4">
        <f t="shared" si="8"/>
        <v>48</v>
      </c>
      <c r="N32" s="4">
        <f t="shared" si="0"/>
        <v>33</v>
      </c>
      <c r="O32" s="4">
        <f t="shared" si="1"/>
        <v>33</v>
      </c>
      <c r="P32" s="4">
        <f t="shared" si="2"/>
        <v>32</v>
      </c>
      <c r="Q32" s="4">
        <f t="shared" si="3"/>
        <v>42</v>
      </c>
      <c r="R32" s="4">
        <f t="shared" si="4"/>
        <v>40</v>
      </c>
      <c r="S32" s="4">
        <f t="shared" si="5"/>
        <v>36</v>
      </c>
      <c r="T32" s="7">
        <f t="shared" si="6"/>
        <v>264</v>
      </c>
      <c r="U32" s="4">
        <f t="shared" si="9"/>
        <v>5</v>
      </c>
      <c r="V32" s="4">
        <f t="shared" si="10"/>
        <v>7</v>
      </c>
      <c r="W32" s="4">
        <f t="shared" si="11"/>
        <v>6</v>
      </c>
      <c r="X32" s="4">
        <f t="shared" si="12"/>
        <v>7</v>
      </c>
      <c r="Y32" s="4">
        <f t="shared" si="13"/>
        <v>6</v>
      </c>
      <c r="Z32" s="4">
        <f t="shared" si="14"/>
        <v>5</v>
      </c>
      <c r="AA32" s="4">
        <f t="shared" si="15"/>
        <v>6</v>
      </c>
      <c r="AB32" s="4">
        <f t="shared" si="16"/>
        <v>0</v>
      </c>
      <c r="AC32" s="14">
        <f t="shared" si="17"/>
        <v>42</v>
      </c>
      <c r="AD32" s="15">
        <f t="shared" si="18"/>
        <v>48</v>
      </c>
      <c r="AE32" s="9">
        <f>_xlfn.XLOOKUP(A32,Teachers!A:A,Teachers!C:C,,,)</f>
        <v>46</v>
      </c>
      <c r="AF32" s="10">
        <f t="shared" si="19"/>
        <v>2</v>
      </c>
      <c r="AG32" s="20"/>
    </row>
    <row r="33" spans="1:33" ht="18.75" customHeight="1" x14ac:dyDescent="0.3">
      <c r="A33" s="5">
        <v>119990</v>
      </c>
      <c r="B33" s="11" t="s">
        <v>44</v>
      </c>
      <c r="C33" s="4">
        <v>7</v>
      </c>
      <c r="D33" s="12">
        <f>_xlfn.XLOOKUP($A33,Enrolment!$A:$A,Enrolment!C:C,,,)</f>
        <v>143</v>
      </c>
      <c r="E33" s="12">
        <f>_xlfn.XLOOKUP($A33,Enrolment!$A:$A,Enrolment!D:D,,,)</f>
        <v>136</v>
      </c>
      <c r="F33" s="12">
        <f>_xlfn.XLOOKUP($A33,Enrolment!$A:$A,Enrolment!E:E,,,)</f>
        <v>121</v>
      </c>
      <c r="G33" s="12">
        <f>_xlfn.XLOOKUP($A33,Enrolment!$A:$A,Enrolment!F:F,,,)</f>
        <v>177</v>
      </c>
      <c r="H33" s="12">
        <f>_xlfn.XLOOKUP($A33,Enrolment!$A:$A,Enrolment!G:G,,,)</f>
        <v>154</v>
      </c>
      <c r="I33" s="12">
        <f>_xlfn.XLOOKUP($A33,Enrolment!$A:$A,Enrolment!H:H,,,)</f>
        <v>164</v>
      </c>
      <c r="J33" s="12">
        <f>_xlfn.XLOOKUP($A33,Enrolment!$A:$A,Enrolment!I:I,,,)</f>
        <v>134</v>
      </c>
      <c r="K33" s="9">
        <f>_xlfn.XLOOKUP(A33,Enrolment!$A:$A,Enrolment!J:J,,,)</f>
        <v>0</v>
      </c>
      <c r="L33" s="13">
        <f t="shared" si="7"/>
        <v>1029</v>
      </c>
      <c r="M33" s="4">
        <f t="shared" si="8"/>
        <v>48</v>
      </c>
      <c r="N33" s="4">
        <f t="shared" si="0"/>
        <v>27</v>
      </c>
      <c r="O33" s="4">
        <f t="shared" si="1"/>
        <v>30</v>
      </c>
      <c r="P33" s="4">
        <f t="shared" si="2"/>
        <v>30</v>
      </c>
      <c r="Q33" s="4">
        <f t="shared" si="3"/>
        <v>39</v>
      </c>
      <c r="R33" s="4">
        <f t="shared" si="4"/>
        <v>41</v>
      </c>
      <c r="S33" s="4">
        <f t="shared" si="5"/>
        <v>34</v>
      </c>
      <c r="T33" s="7">
        <f t="shared" si="6"/>
        <v>249</v>
      </c>
      <c r="U33" s="4">
        <f t="shared" si="9"/>
        <v>3</v>
      </c>
      <c r="V33" s="4">
        <f t="shared" si="10"/>
        <v>5</v>
      </c>
      <c r="W33" s="4">
        <f t="shared" si="11"/>
        <v>4</v>
      </c>
      <c r="X33" s="4">
        <f t="shared" si="12"/>
        <v>6</v>
      </c>
      <c r="Y33" s="4">
        <f t="shared" si="13"/>
        <v>4</v>
      </c>
      <c r="Z33" s="4">
        <f t="shared" si="14"/>
        <v>4</v>
      </c>
      <c r="AA33" s="4">
        <f t="shared" si="15"/>
        <v>4</v>
      </c>
      <c r="AB33" s="4">
        <f t="shared" si="16"/>
        <v>0</v>
      </c>
      <c r="AC33" s="14">
        <f t="shared" si="17"/>
        <v>30</v>
      </c>
      <c r="AD33" s="15">
        <f t="shared" si="18"/>
        <v>34.5</v>
      </c>
      <c r="AE33" s="9">
        <f>_xlfn.XLOOKUP(A33,Teachers!A:A,Teachers!C:C,,,)</f>
        <v>32</v>
      </c>
      <c r="AF33" s="10">
        <f t="shared" si="19"/>
        <v>3</v>
      </c>
      <c r="AG33" s="20"/>
    </row>
    <row r="34" spans="1:33" ht="18.75" customHeight="1" x14ac:dyDescent="0.25">
      <c r="A34" s="4">
        <v>119956</v>
      </c>
      <c r="B34" s="11" t="s">
        <v>45</v>
      </c>
      <c r="C34" s="4">
        <v>9</v>
      </c>
      <c r="D34" s="12">
        <f>_xlfn.XLOOKUP($A34,Enrolment!$A:$A,Enrolment!C:C,,,)</f>
        <v>126</v>
      </c>
      <c r="E34" s="12">
        <f>_xlfn.XLOOKUP($A34,Enrolment!$A:$A,Enrolment!D:D,,,)</f>
        <v>120</v>
      </c>
      <c r="F34" s="12">
        <f>_xlfn.XLOOKUP($A34,Enrolment!$A:$A,Enrolment!E:E,,,)</f>
        <v>94</v>
      </c>
      <c r="G34" s="12">
        <f>_xlfn.XLOOKUP($A34,Enrolment!$A:$A,Enrolment!F:F,,,)</f>
        <v>112</v>
      </c>
      <c r="H34" s="12">
        <f>_xlfn.XLOOKUP($A34,Enrolment!$A:$A,Enrolment!G:G,,,)</f>
        <v>109</v>
      </c>
      <c r="I34" s="12">
        <f>_xlfn.XLOOKUP($A34,Enrolment!$A:$A,Enrolment!H:H,,,)</f>
        <v>92</v>
      </c>
      <c r="J34" s="12">
        <f>_xlfn.XLOOKUP($A34,Enrolment!$A:$A,Enrolment!I:I,,,)</f>
        <v>100</v>
      </c>
      <c r="K34" s="9">
        <f>_xlfn.XLOOKUP(A34,Enrolment!$A:$A,Enrolment!J:J,,,)</f>
        <v>0</v>
      </c>
      <c r="L34" s="13">
        <f t="shared" si="7"/>
        <v>753</v>
      </c>
      <c r="M34" s="4">
        <f t="shared" si="8"/>
        <v>42</v>
      </c>
      <c r="N34" s="4">
        <f t="shared" si="0"/>
        <v>30</v>
      </c>
      <c r="O34" s="4">
        <f t="shared" si="1"/>
        <v>31</v>
      </c>
      <c r="P34" s="4">
        <f t="shared" si="2"/>
        <v>28</v>
      </c>
      <c r="Q34" s="4">
        <f t="shared" si="3"/>
        <v>36</v>
      </c>
      <c r="R34" s="4">
        <f t="shared" si="4"/>
        <v>31</v>
      </c>
      <c r="S34" s="4">
        <f t="shared" si="5"/>
        <v>33</v>
      </c>
      <c r="T34" s="7">
        <f t="shared" si="6"/>
        <v>231</v>
      </c>
      <c r="U34" s="4">
        <f t="shared" si="9"/>
        <v>3</v>
      </c>
      <c r="V34" s="4">
        <f t="shared" si="10"/>
        <v>4</v>
      </c>
      <c r="W34" s="4">
        <f t="shared" si="11"/>
        <v>3</v>
      </c>
      <c r="X34" s="4">
        <f t="shared" si="12"/>
        <v>4</v>
      </c>
      <c r="Y34" s="4">
        <f t="shared" si="13"/>
        <v>3</v>
      </c>
      <c r="Z34" s="4">
        <f t="shared" si="14"/>
        <v>3</v>
      </c>
      <c r="AA34" s="4">
        <f t="shared" si="15"/>
        <v>3</v>
      </c>
      <c r="AB34" s="4">
        <f t="shared" si="16"/>
        <v>0</v>
      </c>
      <c r="AC34" s="14">
        <f t="shared" si="17"/>
        <v>23</v>
      </c>
      <c r="AD34" s="15">
        <f t="shared" si="18"/>
        <v>26.25</v>
      </c>
      <c r="AE34" s="9">
        <f>_xlfn.XLOOKUP(A34,Teachers!A:A,Teachers!C:C,,,)</f>
        <v>25</v>
      </c>
      <c r="AF34" s="10">
        <f t="shared" si="19"/>
        <v>1</v>
      </c>
      <c r="AG34" s="20"/>
    </row>
    <row r="35" spans="1:33" ht="18.75" customHeight="1" x14ac:dyDescent="0.25">
      <c r="A35" s="4">
        <v>119981</v>
      </c>
      <c r="B35" s="11" t="s">
        <v>46</v>
      </c>
      <c r="C35" s="4">
        <v>5</v>
      </c>
      <c r="D35" s="12">
        <f>_xlfn.XLOOKUP($A35,Enrolment!$A:$A,Enrolment!C:C,,,)</f>
        <v>30</v>
      </c>
      <c r="E35" s="12">
        <f>_xlfn.XLOOKUP($A35,Enrolment!$A:$A,Enrolment!D:D,,,)</f>
        <v>29</v>
      </c>
      <c r="F35" s="12">
        <f>_xlfn.XLOOKUP($A35,Enrolment!$A:$A,Enrolment!E:E,,,)</f>
        <v>38</v>
      </c>
      <c r="G35" s="12">
        <f>_xlfn.XLOOKUP($A35,Enrolment!$A:$A,Enrolment!F:F,,,)</f>
        <v>35</v>
      </c>
      <c r="H35" s="12">
        <f>_xlfn.XLOOKUP($A35,Enrolment!$A:$A,Enrolment!G:G,,,)</f>
        <v>34</v>
      </c>
      <c r="I35" s="12">
        <f>_xlfn.XLOOKUP($A35,Enrolment!$A:$A,Enrolment!H:H,,,)</f>
        <v>36</v>
      </c>
      <c r="J35" s="12">
        <f>_xlfn.XLOOKUP($A35,Enrolment!$A:$A,Enrolment!I:I,,,)</f>
        <v>33</v>
      </c>
      <c r="K35" s="9">
        <f>_xlfn.XLOOKUP(A35,Enrolment!$A:$A,Enrolment!J:J,,,)</f>
        <v>0</v>
      </c>
      <c r="L35" s="13">
        <f t="shared" si="7"/>
        <v>235</v>
      </c>
      <c r="M35" s="4">
        <f t="shared" si="8"/>
        <v>30</v>
      </c>
      <c r="N35" s="4">
        <f t="shared" si="0"/>
        <v>29</v>
      </c>
      <c r="O35" s="4">
        <f t="shared" si="1"/>
        <v>19</v>
      </c>
      <c r="P35" s="4">
        <f t="shared" si="2"/>
        <v>18</v>
      </c>
      <c r="Q35" s="4">
        <f t="shared" si="3"/>
        <v>34</v>
      </c>
      <c r="R35" s="4">
        <f t="shared" si="4"/>
        <v>36</v>
      </c>
      <c r="S35" s="4">
        <f t="shared" si="5"/>
        <v>33</v>
      </c>
      <c r="T35" s="7">
        <f t="shared" si="6"/>
        <v>199</v>
      </c>
      <c r="U35" s="4">
        <f t="shared" si="9"/>
        <v>1</v>
      </c>
      <c r="V35" s="4">
        <f t="shared" si="10"/>
        <v>1</v>
      </c>
      <c r="W35" s="4">
        <f t="shared" si="11"/>
        <v>2</v>
      </c>
      <c r="X35" s="4">
        <f t="shared" si="12"/>
        <v>2</v>
      </c>
      <c r="Y35" s="4">
        <f t="shared" si="13"/>
        <v>1</v>
      </c>
      <c r="Z35" s="4">
        <f t="shared" si="14"/>
        <v>1</v>
      </c>
      <c r="AA35" s="4">
        <f t="shared" si="15"/>
        <v>1</v>
      </c>
      <c r="AB35" s="4">
        <f t="shared" si="16"/>
        <v>0</v>
      </c>
      <c r="AC35" s="14">
        <f t="shared" si="17"/>
        <v>9</v>
      </c>
      <c r="AD35" s="15">
        <f t="shared" si="18"/>
        <v>10.25</v>
      </c>
      <c r="AE35" s="9">
        <f>_xlfn.XLOOKUP(A35,Teachers!A:A,Teachers!C:C,,,)</f>
        <v>9</v>
      </c>
      <c r="AF35" s="10">
        <f t="shared" si="19"/>
        <v>1</v>
      </c>
      <c r="AG35" s="20"/>
    </row>
    <row r="36" spans="1:33" ht="18.75" customHeight="1" x14ac:dyDescent="0.25">
      <c r="A36" s="4">
        <v>119955</v>
      </c>
      <c r="B36" s="11" t="s">
        <v>47</v>
      </c>
      <c r="C36" s="4">
        <v>9</v>
      </c>
      <c r="D36" s="12">
        <f>_xlfn.XLOOKUP($A36,Enrolment!$A:$A,Enrolment!C:C,,,)</f>
        <v>57</v>
      </c>
      <c r="E36" s="12">
        <f>_xlfn.XLOOKUP($A36,Enrolment!$A:$A,Enrolment!D:D,,,)</f>
        <v>54</v>
      </c>
      <c r="F36" s="12">
        <f>_xlfn.XLOOKUP($A36,Enrolment!$A:$A,Enrolment!E:E,,,)</f>
        <v>42</v>
      </c>
      <c r="G36" s="12">
        <f>_xlfn.XLOOKUP($A36,Enrolment!$A:$A,Enrolment!F:F,,,)</f>
        <v>69</v>
      </c>
      <c r="H36" s="12">
        <f>_xlfn.XLOOKUP($A36,Enrolment!$A:$A,Enrolment!G:G,,,)</f>
        <v>60</v>
      </c>
      <c r="I36" s="12">
        <f>_xlfn.XLOOKUP($A36,Enrolment!$A:$A,Enrolment!H:H,,,)</f>
        <v>59</v>
      </c>
      <c r="J36" s="12">
        <f>_xlfn.XLOOKUP($A36,Enrolment!$A:$A,Enrolment!I:I,,,)</f>
        <v>52</v>
      </c>
      <c r="K36" s="9">
        <f>_xlfn.XLOOKUP(A36,Enrolment!$A:$A,Enrolment!J:J,,,)</f>
        <v>0</v>
      </c>
      <c r="L36" s="13">
        <f t="shared" si="7"/>
        <v>393</v>
      </c>
      <c r="M36" s="4">
        <f t="shared" si="8"/>
        <v>29</v>
      </c>
      <c r="N36" s="4">
        <f t="shared" si="0"/>
        <v>27</v>
      </c>
      <c r="O36" s="4">
        <f t="shared" si="1"/>
        <v>21</v>
      </c>
      <c r="P36" s="4">
        <f t="shared" si="2"/>
        <v>23</v>
      </c>
      <c r="Q36" s="4">
        <f t="shared" si="3"/>
        <v>30</v>
      </c>
      <c r="R36" s="4">
        <f t="shared" si="4"/>
        <v>30</v>
      </c>
      <c r="S36" s="4">
        <f t="shared" si="5"/>
        <v>26</v>
      </c>
      <c r="T36" s="7">
        <f t="shared" si="6"/>
        <v>186</v>
      </c>
      <c r="U36" s="4">
        <f t="shared" si="9"/>
        <v>2</v>
      </c>
      <c r="V36" s="4">
        <f t="shared" si="10"/>
        <v>2</v>
      </c>
      <c r="W36" s="4">
        <f t="shared" si="11"/>
        <v>2</v>
      </c>
      <c r="X36" s="4">
        <f t="shared" si="12"/>
        <v>3</v>
      </c>
      <c r="Y36" s="4">
        <f t="shared" si="13"/>
        <v>2</v>
      </c>
      <c r="Z36" s="4">
        <f t="shared" si="14"/>
        <v>2</v>
      </c>
      <c r="AA36" s="4">
        <f t="shared" si="15"/>
        <v>2</v>
      </c>
      <c r="AB36" s="4">
        <f t="shared" si="16"/>
        <v>0</v>
      </c>
      <c r="AC36" s="14">
        <f t="shared" si="17"/>
        <v>15</v>
      </c>
      <c r="AD36" s="15">
        <f t="shared" si="18"/>
        <v>17.25</v>
      </c>
      <c r="AE36" s="9">
        <f>_xlfn.XLOOKUP(A36,Teachers!A:A,Teachers!C:C,,,)</f>
        <v>16</v>
      </c>
      <c r="AF36" s="10">
        <f t="shared" si="19"/>
        <v>1</v>
      </c>
      <c r="AG36" s="20"/>
    </row>
    <row r="37" spans="1:33" ht="18.75" customHeight="1" x14ac:dyDescent="0.25">
      <c r="A37" s="16">
        <v>502529</v>
      </c>
      <c r="B37" s="11" t="s">
        <v>48</v>
      </c>
      <c r="C37" s="4">
        <v>9</v>
      </c>
      <c r="D37" s="12">
        <f>_xlfn.XLOOKUP($A37,Enrolment!$A:$A,Enrolment!C:C,,,)</f>
        <v>15</v>
      </c>
      <c r="E37" s="12">
        <f>_xlfn.XLOOKUP($A37,Enrolment!$A:$A,Enrolment!D:D,,,)</f>
        <v>14</v>
      </c>
      <c r="F37" s="12">
        <f>_xlfn.XLOOKUP($A37,Enrolment!$A:$A,Enrolment!E:E,,,)</f>
        <v>15</v>
      </c>
      <c r="G37" s="12">
        <f>_xlfn.XLOOKUP($A37,Enrolment!$A:$A,Enrolment!F:F,,,)</f>
        <v>26</v>
      </c>
      <c r="H37" s="12">
        <f>_xlfn.XLOOKUP($A37,Enrolment!$A:$A,Enrolment!G:G,,,)</f>
        <v>14</v>
      </c>
      <c r="I37" s="12">
        <f>_xlfn.XLOOKUP($A37,Enrolment!$A:$A,Enrolment!H:H,,,)</f>
        <v>20</v>
      </c>
      <c r="J37" s="12">
        <f>_xlfn.XLOOKUP($A37,Enrolment!$A:$A,Enrolment!I:I,,,)</f>
        <v>13</v>
      </c>
      <c r="K37" s="9">
        <f>_xlfn.XLOOKUP(A37,Enrolment!$A:$A,Enrolment!J:J,,,)</f>
        <v>0</v>
      </c>
      <c r="L37" s="13">
        <f t="shared" si="7"/>
        <v>117</v>
      </c>
      <c r="M37" s="4">
        <f t="shared" si="8"/>
        <v>15</v>
      </c>
      <c r="N37" s="4">
        <f t="shared" si="0"/>
        <v>14</v>
      </c>
      <c r="O37" s="4">
        <f t="shared" si="1"/>
        <v>15</v>
      </c>
      <c r="P37" s="4">
        <f t="shared" si="2"/>
        <v>26</v>
      </c>
      <c r="Q37" s="4">
        <f t="shared" si="3"/>
        <v>14</v>
      </c>
      <c r="R37" s="4">
        <f t="shared" si="4"/>
        <v>20</v>
      </c>
      <c r="S37" s="4">
        <f t="shared" si="5"/>
        <v>13</v>
      </c>
      <c r="T37" s="7">
        <f t="shared" si="6"/>
        <v>117</v>
      </c>
      <c r="U37" s="4">
        <f t="shared" si="9"/>
        <v>1</v>
      </c>
      <c r="V37" s="4">
        <f t="shared" si="10"/>
        <v>1</v>
      </c>
      <c r="W37" s="4">
        <f t="shared" si="11"/>
        <v>1</v>
      </c>
      <c r="X37" s="4">
        <f t="shared" si="12"/>
        <v>1</v>
      </c>
      <c r="Y37" s="4">
        <f t="shared" si="13"/>
        <v>1</v>
      </c>
      <c r="Z37" s="4">
        <f t="shared" si="14"/>
        <v>1</v>
      </c>
      <c r="AA37" s="4">
        <f t="shared" si="15"/>
        <v>1</v>
      </c>
      <c r="AB37" s="4">
        <f t="shared" si="16"/>
        <v>0</v>
      </c>
      <c r="AC37" s="14">
        <f t="shared" si="17"/>
        <v>7</v>
      </c>
      <c r="AD37" s="15">
        <f t="shared" si="18"/>
        <v>8</v>
      </c>
      <c r="AE37" s="9">
        <f>_xlfn.XLOOKUP(A37,Teachers!A:A,Teachers!C:C,,,)</f>
        <v>9</v>
      </c>
      <c r="AF37" s="10">
        <f t="shared" si="19"/>
        <v>-1</v>
      </c>
      <c r="AG37" s="20"/>
    </row>
    <row r="38" spans="1:33" ht="18.75" customHeight="1" x14ac:dyDescent="0.25">
      <c r="A38" s="4">
        <v>119979</v>
      </c>
      <c r="B38" s="11" t="s">
        <v>49</v>
      </c>
      <c r="C38" s="4">
        <v>5</v>
      </c>
      <c r="D38" s="12">
        <f>_xlfn.XLOOKUP($A38,Enrolment!$A:$A,Enrolment!C:C,,,)</f>
        <v>816</v>
      </c>
      <c r="E38" s="12">
        <f>_xlfn.XLOOKUP($A38,Enrolment!$A:$A,Enrolment!D:D,,,)</f>
        <v>777</v>
      </c>
      <c r="F38" s="12">
        <f>_xlfn.XLOOKUP($A38,Enrolment!$A:$A,Enrolment!E:E,,,)</f>
        <v>713</v>
      </c>
      <c r="G38" s="12">
        <f>_xlfn.XLOOKUP($A38,Enrolment!$A:$A,Enrolment!F:F,,,)</f>
        <v>891</v>
      </c>
      <c r="H38" s="12">
        <f>_xlfn.XLOOKUP($A38,Enrolment!$A:$A,Enrolment!G:G,,,)</f>
        <v>862</v>
      </c>
      <c r="I38" s="12">
        <f>_xlfn.XLOOKUP($A38,Enrolment!$A:$A,Enrolment!H:H,,,)</f>
        <v>898</v>
      </c>
      <c r="J38" s="12">
        <f>_xlfn.XLOOKUP($A38,Enrolment!$A:$A,Enrolment!I:I,,,)</f>
        <v>826</v>
      </c>
      <c r="K38" s="9">
        <f>_xlfn.XLOOKUP(A38,Enrolment!$A:$A,Enrolment!J:J,,,)</f>
        <v>181</v>
      </c>
      <c r="L38" s="13">
        <f t="shared" si="7"/>
        <v>5964</v>
      </c>
      <c r="M38" s="4">
        <f t="shared" si="8"/>
        <v>54</v>
      </c>
      <c r="N38" s="4">
        <f t="shared" si="0"/>
        <v>32</v>
      </c>
      <c r="O38" s="4">
        <f t="shared" si="1"/>
        <v>32</v>
      </c>
      <c r="P38" s="4">
        <f t="shared" si="2"/>
        <v>33</v>
      </c>
      <c r="Q38" s="4">
        <f t="shared" si="3"/>
        <v>41</v>
      </c>
      <c r="R38" s="4">
        <f t="shared" si="4"/>
        <v>43</v>
      </c>
      <c r="S38" s="4">
        <f t="shared" si="5"/>
        <v>41</v>
      </c>
      <c r="T38" s="7">
        <f t="shared" si="6"/>
        <v>276</v>
      </c>
      <c r="U38" s="4">
        <f t="shared" si="9"/>
        <v>15</v>
      </c>
      <c r="V38" s="4">
        <f t="shared" si="10"/>
        <v>24</v>
      </c>
      <c r="W38" s="4">
        <f t="shared" si="11"/>
        <v>22</v>
      </c>
      <c r="X38" s="4">
        <f t="shared" si="12"/>
        <v>27</v>
      </c>
      <c r="Y38" s="4">
        <f t="shared" si="13"/>
        <v>21</v>
      </c>
      <c r="Z38" s="4">
        <f t="shared" si="14"/>
        <v>21</v>
      </c>
      <c r="AA38" s="4">
        <f t="shared" si="15"/>
        <v>20</v>
      </c>
      <c r="AB38" s="4">
        <f t="shared" si="16"/>
        <v>13</v>
      </c>
      <c r="AC38" s="14">
        <f t="shared" si="17"/>
        <v>163</v>
      </c>
      <c r="AD38" s="15">
        <f t="shared" si="18"/>
        <v>185.25</v>
      </c>
      <c r="AE38" s="9">
        <f>_xlfn.XLOOKUP(A38,Teachers!A:A,Teachers!C:C,,,)</f>
        <v>171</v>
      </c>
      <c r="AF38" s="10">
        <f t="shared" si="19"/>
        <v>14</v>
      </c>
      <c r="AG38" s="20"/>
    </row>
    <row r="39" spans="1:33" ht="18.75" customHeight="1" x14ac:dyDescent="0.25">
      <c r="A39" s="4">
        <v>119965</v>
      </c>
      <c r="B39" s="11" t="s">
        <v>50</v>
      </c>
      <c r="C39" s="4">
        <v>1</v>
      </c>
      <c r="D39" s="12">
        <f>_xlfn.XLOOKUP($A39,Enrolment!$A:$A,Enrolment!C:C,,,)</f>
        <v>138</v>
      </c>
      <c r="E39" s="12">
        <f>_xlfn.XLOOKUP($A39,Enrolment!$A:$A,Enrolment!D:D,,,)</f>
        <v>131</v>
      </c>
      <c r="F39" s="12">
        <f>_xlfn.XLOOKUP($A39,Enrolment!$A:$A,Enrolment!E:E,,,)</f>
        <v>109</v>
      </c>
      <c r="G39" s="12">
        <f>_xlfn.XLOOKUP($A39,Enrolment!$A:$A,Enrolment!F:F,,,)</f>
        <v>135</v>
      </c>
      <c r="H39" s="12">
        <f>_xlfn.XLOOKUP($A39,Enrolment!$A:$A,Enrolment!G:G,,,)</f>
        <v>115</v>
      </c>
      <c r="I39" s="12">
        <f>_xlfn.XLOOKUP($A39,Enrolment!$A:$A,Enrolment!H:H,,,)</f>
        <v>144</v>
      </c>
      <c r="J39" s="12">
        <f>_xlfn.XLOOKUP($A39,Enrolment!$A:$A,Enrolment!I:I,,,)</f>
        <v>109</v>
      </c>
      <c r="K39" s="9">
        <f>_xlfn.XLOOKUP(A39,Enrolment!$A:$A,Enrolment!J:J,,,)</f>
        <v>0</v>
      </c>
      <c r="L39" s="13">
        <f t="shared" si="7"/>
        <v>881</v>
      </c>
      <c r="M39" s="4">
        <f t="shared" si="8"/>
        <v>46</v>
      </c>
      <c r="N39" s="4">
        <f t="shared" si="0"/>
        <v>33</v>
      </c>
      <c r="O39" s="4">
        <f t="shared" si="1"/>
        <v>27</v>
      </c>
      <c r="P39" s="4">
        <f t="shared" si="2"/>
        <v>27</v>
      </c>
      <c r="Q39" s="4">
        <f t="shared" si="3"/>
        <v>38</v>
      </c>
      <c r="R39" s="4">
        <f t="shared" si="4"/>
        <v>36</v>
      </c>
      <c r="S39" s="4">
        <f t="shared" si="5"/>
        <v>36</v>
      </c>
      <c r="T39" s="7">
        <f t="shared" si="6"/>
        <v>243</v>
      </c>
      <c r="U39" s="4">
        <f t="shared" si="9"/>
        <v>3</v>
      </c>
      <c r="V39" s="4">
        <f t="shared" si="10"/>
        <v>4</v>
      </c>
      <c r="W39" s="4">
        <f t="shared" si="11"/>
        <v>4</v>
      </c>
      <c r="X39" s="4">
        <f t="shared" si="12"/>
        <v>5</v>
      </c>
      <c r="Y39" s="4">
        <f t="shared" si="13"/>
        <v>3</v>
      </c>
      <c r="Z39" s="4">
        <f t="shared" si="14"/>
        <v>4</v>
      </c>
      <c r="AA39" s="4">
        <f t="shared" si="15"/>
        <v>3</v>
      </c>
      <c r="AB39" s="4">
        <f t="shared" si="16"/>
        <v>0</v>
      </c>
      <c r="AC39" s="14">
        <f t="shared" si="17"/>
        <v>26</v>
      </c>
      <c r="AD39" s="15">
        <f t="shared" si="18"/>
        <v>29.75</v>
      </c>
      <c r="AE39" s="9">
        <f>_xlfn.XLOOKUP(A39,Teachers!A:A,Teachers!C:C,,,)</f>
        <v>28</v>
      </c>
      <c r="AF39" s="10">
        <f t="shared" si="19"/>
        <v>2</v>
      </c>
      <c r="AG39" s="20"/>
    </row>
    <row r="40" spans="1:33" ht="18.75" customHeight="1" x14ac:dyDescent="0.25">
      <c r="A40" s="4">
        <v>119962</v>
      </c>
      <c r="B40" s="11" t="s">
        <v>51</v>
      </c>
      <c r="C40" s="4">
        <v>10</v>
      </c>
      <c r="D40" s="12">
        <f>_xlfn.XLOOKUP($A40,Enrolment!$A:$A,Enrolment!C:C,,,)</f>
        <v>53</v>
      </c>
      <c r="E40" s="12">
        <f>_xlfn.XLOOKUP($A40,Enrolment!$A:$A,Enrolment!D:D,,,)</f>
        <v>50</v>
      </c>
      <c r="F40" s="12">
        <f>_xlfn.XLOOKUP($A40,Enrolment!$A:$A,Enrolment!E:E,,,)</f>
        <v>56</v>
      </c>
      <c r="G40" s="12">
        <f>_xlfn.XLOOKUP($A40,Enrolment!$A:$A,Enrolment!F:F,,,)</f>
        <v>60</v>
      </c>
      <c r="H40" s="12">
        <f>_xlfn.XLOOKUP($A40,Enrolment!$A:$A,Enrolment!G:G,,,)</f>
        <v>53</v>
      </c>
      <c r="I40" s="12">
        <f>_xlfn.XLOOKUP($A40,Enrolment!$A:$A,Enrolment!H:H,,,)</f>
        <v>60</v>
      </c>
      <c r="J40" s="12">
        <f>_xlfn.XLOOKUP($A40,Enrolment!$A:$A,Enrolment!I:I,,,)</f>
        <v>61</v>
      </c>
      <c r="K40" s="9">
        <f>_xlfn.XLOOKUP(A40,Enrolment!$A:$A,Enrolment!J:J,,,)</f>
        <v>0</v>
      </c>
      <c r="L40" s="13">
        <f t="shared" si="7"/>
        <v>393</v>
      </c>
      <c r="M40" s="4">
        <f t="shared" si="8"/>
        <v>53</v>
      </c>
      <c r="N40" s="4">
        <f t="shared" si="0"/>
        <v>25</v>
      </c>
      <c r="O40" s="4">
        <f t="shared" si="1"/>
        <v>28</v>
      </c>
      <c r="P40" s="4">
        <f t="shared" si="2"/>
        <v>30</v>
      </c>
      <c r="Q40" s="4">
        <f t="shared" si="3"/>
        <v>27</v>
      </c>
      <c r="R40" s="4">
        <f t="shared" si="4"/>
        <v>30</v>
      </c>
      <c r="S40" s="4">
        <f t="shared" si="5"/>
        <v>31</v>
      </c>
      <c r="T40" s="7">
        <f t="shared" si="6"/>
        <v>224</v>
      </c>
      <c r="U40" s="4">
        <f t="shared" si="9"/>
        <v>1</v>
      </c>
      <c r="V40" s="4">
        <f t="shared" si="10"/>
        <v>2</v>
      </c>
      <c r="W40" s="4">
        <f t="shared" si="11"/>
        <v>2</v>
      </c>
      <c r="X40" s="4">
        <f t="shared" si="12"/>
        <v>2</v>
      </c>
      <c r="Y40" s="4">
        <f t="shared" si="13"/>
        <v>2</v>
      </c>
      <c r="Z40" s="4">
        <f t="shared" si="14"/>
        <v>2</v>
      </c>
      <c r="AA40" s="4">
        <f t="shared" si="15"/>
        <v>2</v>
      </c>
      <c r="AB40" s="4">
        <f t="shared" si="16"/>
        <v>0</v>
      </c>
      <c r="AC40" s="14">
        <f t="shared" si="17"/>
        <v>13</v>
      </c>
      <c r="AD40" s="15">
        <f t="shared" si="18"/>
        <v>15</v>
      </c>
      <c r="AE40" s="9">
        <f>_xlfn.XLOOKUP(A40,Teachers!A:A,Teachers!C:C,,,)</f>
        <v>14</v>
      </c>
      <c r="AF40" s="10">
        <f t="shared" si="19"/>
        <v>1</v>
      </c>
      <c r="AG40" s="20"/>
    </row>
    <row r="41" spans="1:33" ht="18.75" customHeight="1" x14ac:dyDescent="0.25">
      <c r="A41" s="4">
        <v>119959</v>
      </c>
      <c r="B41" s="11" t="s">
        <v>52</v>
      </c>
      <c r="C41" s="4">
        <v>9</v>
      </c>
      <c r="D41" s="12">
        <f>_xlfn.XLOOKUP($A41,Enrolment!$A:$A,Enrolment!C:C,,,)</f>
        <v>56</v>
      </c>
      <c r="E41" s="12">
        <f>_xlfn.XLOOKUP($A41,Enrolment!$A:$A,Enrolment!D:D,,,)</f>
        <v>53</v>
      </c>
      <c r="F41" s="12">
        <f>_xlfn.XLOOKUP($A41,Enrolment!$A:$A,Enrolment!E:E,,,)</f>
        <v>29</v>
      </c>
      <c r="G41" s="12">
        <f>_xlfn.XLOOKUP($A41,Enrolment!$A:$A,Enrolment!F:F,,,)</f>
        <v>71</v>
      </c>
      <c r="H41" s="12">
        <f>_xlfn.XLOOKUP($A41,Enrolment!$A:$A,Enrolment!G:G,,,)</f>
        <v>43</v>
      </c>
      <c r="I41" s="12">
        <f>_xlfn.XLOOKUP($A41,Enrolment!$A:$A,Enrolment!H:H,,,)</f>
        <v>38</v>
      </c>
      <c r="J41" s="12">
        <f>_xlfn.XLOOKUP($A41,Enrolment!$A:$A,Enrolment!I:I,,,)</f>
        <v>47</v>
      </c>
      <c r="K41" s="9">
        <f>_xlfn.XLOOKUP(A41,Enrolment!$A:$A,Enrolment!J:J,,,)</f>
        <v>0</v>
      </c>
      <c r="L41" s="13">
        <f t="shared" si="7"/>
        <v>337</v>
      </c>
      <c r="M41" s="4">
        <f t="shared" si="8"/>
        <v>28</v>
      </c>
      <c r="N41" s="4">
        <f t="shared" si="0"/>
        <v>27</v>
      </c>
      <c r="O41" s="4">
        <f t="shared" si="1"/>
        <v>29</v>
      </c>
      <c r="P41" s="4">
        <f t="shared" si="2"/>
        <v>24</v>
      </c>
      <c r="Q41" s="4">
        <f t="shared" si="3"/>
        <v>43</v>
      </c>
      <c r="R41" s="4">
        <f t="shared" si="4"/>
        <v>38</v>
      </c>
      <c r="S41" s="4">
        <f t="shared" si="5"/>
        <v>24</v>
      </c>
      <c r="T41" s="7">
        <f t="shared" si="6"/>
        <v>213</v>
      </c>
      <c r="U41" s="4">
        <f t="shared" si="9"/>
        <v>2</v>
      </c>
      <c r="V41" s="4">
        <f t="shared" si="10"/>
        <v>2</v>
      </c>
      <c r="W41" s="4">
        <f t="shared" si="11"/>
        <v>1</v>
      </c>
      <c r="X41" s="4">
        <f t="shared" si="12"/>
        <v>3</v>
      </c>
      <c r="Y41" s="4">
        <f t="shared" si="13"/>
        <v>1</v>
      </c>
      <c r="Z41" s="4">
        <f t="shared" si="14"/>
        <v>1</v>
      </c>
      <c r="AA41" s="4">
        <f t="shared" si="15"/>
        <v>2</v>
      </c>
      <c r="AB41" s="4">
        <f t="shared" si="16"/>
        <v>0</v>
      </c>
      <c r="AC41" s="14">
        <f t="shared" si="17"/>
        <v>12</v>
      </c>
      <c r="AD41" s="15">
        <f t="shared" si="18"/>
        <v>13.75</v>
      </c>
      <c r="AE41" s="9">
        <f>_xlfn.XLOOKUP(A41,Teachers!A:A,Teachers!C:C,,,)</f>
        <v>12</v>
      </c>
      <c r="AF41" s="10">
        <f t="shared" si="19"/>
        <v>2</v>
      </c>
      <c r="AG41" s="20"/>
    </row>
    <row r="42" spans="1:33" ht="18.75" customHeight="1" x14ac:dyDescent="0.25">
      <c r="A42" s="4">
        <v>119988</v>
      </c>
      <c r="B42" s="11" t="s">
        <v>53</v>
      </c>
      <c r="C42" s="4">
        <v>8</v>
      </c>
      <c r="D42" s="12">
        <f>_xlfn.XLOOKUP($A42,Enrolment!$A:$A,Enrolment!C:C,,,)</f>
        <v>173</v>
      </c>
      <c r="E42" s="12">
        <f>_xlfn.XLOOKUP($A42,Enrolment!$A:$A,Enrolment!D:D,,,)</f>
        <v>165</v>
      </c>
      <c r="F42" s="12">
        <f>_xlfn.XLOOKUP($A42,Enrolment!$A:$A,Enrolment!E:E,,,)</f>
        <v>175</v>
      </c>
      <c r="G42" s="12">
        <f>_xlfn.XLOOKUP($A42,Enrolment!$A:$A,Enrolment!F:F,,,)</f>
        <v>153</v>
      </c>
      <c r="H42" s="12">
        <f>_xlfn.XLOOKUP($A42,Enrolment!$A:$A,Enrolment!G:G,,,)</f>
        <v>160</v>
      </c>
      <c r="I42" s="12">
        <f>_xlfn.XLOOKUP($A42,Enrolment!$A:$A,Enrolment!H:H,,,)</f>
        <v>161</v>
      </c>
      <c r="J42" s="12">
        <f>_xlfn.XLOOKUP($A42,Enrolment!$A:$A,Enrolment!I:I,,,)</f>
        <v>168</v>
      </c>
      <c r="K42" s="9">
        <f>_xlfn.XLOOKUP(A42,Enrolment!$A:$A,Enrolment!J:J,,,)</f>
        <v>0</v>
      </c>
      <c r="L42" s="13">
        <f t="shared" si="7"/>
        <v>1155</v>
      </c>
      <c r="M42" s="4">
        <f t="shared" si="8"/>
        <v>43</v>
      </c>
      <c r="N42" s="4">
        <f t="shared" si="0"/>
        <v>33</v>
      </c>
      <c r="O42" s="4">
        <f t="shared" si="1"/>
        <v>29</v>
      </c>
      <c r="P42" s="4">
        <f t="shared" si="2"/>
        <v>31</v>
      </c>
      <c r="Q42" s="4">
        <f t="shared" si="3"/>
        <v>40</v>
      </c>
      <c r="R42" s="4">
        <f t="shared" si="4"/>
        <v>40</v>
      </c>
      <c r="S42" s="4">
        <f t="shared" si="5"/>
        <v>42</v>
      </c>
      <c r="T42" s="7">
        <f t="shared" si="6"/>
        <v>258</v>
      </c>
      <c r="U42" s="4">
        <f t="shared" si="9"/>
        <v>4</v>
      </c>
      <c r="V42" s="4">
        <f t="shared" si="10"/>
        <v>5</v>
      </c>
      <c r="W42" s="4">
        <f t="shared" si="11"/>
        <v>6</v>
      </c>
      <c r="X42" s="4">
        <f t="shared" si="12"/>
        <v>5</v>
      </c>
      <c r="Y42" s="4">
        <f t="shared" si="13"/>
        <v>4</v>
      </c>
      <c r="Z42" s="4">
        <f t="shared" si="14"/>
        <v>4</v>
      </c>
      <c r="AA42" s="4">
        <f t="shared" si="15"/>
        <v>4</v>
      </c>
      <c r="AB42" s="4">
        <f t="shared" si="16"/>
        <v>0</v>
      </c>
      <c r="AC42" s="14">
        <f t="shared" si="17"/>
        <v>32</v>
      </c>
      <c r="AD42" s="15">
        <f t="shared" si="18"/>
        <v>36.25</v>
      </c>
      <c r="AE42" s="9">
        <f>_xlfn.XLOOKUP(A42,Teachers!A:A,Teachers!C:C,,,)</f>
        <v>33</v>
      </c>
      <c r="AF42" s="10">
        <f t="shared" si="19"/>
        <v>3</v>
      </c>
      <c r="AG42" s="20"/>
    </row>
    <row r="43" spans="1:33" ht="18.75" customHeight="1" x14ac:dyDescent="0.25">
      <c r="A43" s="4">
        <v>119991</v>
      </c>
      <c r="B43" s="11" t="s">
        <v>54</v>
      </c>
      <c r="C43" s="4">
        <v>7</v>
      </c>
      <c r="D43" s="12">
        <f>_xlfn.XLOOKUP($A43,Enrolment!$A:$A,Enrolment!C:C,,,)</f>
        <v>85</v>
      </c>
      <c r="E43" s="12">
        <f>_xlfn.XLOOKUP($A43,Enrolment!$A:$A,Enrolment!D:D,,,)</f>
        <v>81</v>
      </c>
      <c r="F43" s="12">
        <f>_xlfn.XLOOKUP($A43,Enrolment!$A:$A,Enrolment!E:E,,,)</f>
        <v>58</v>
      </c>
      <c r="G43" s="12">
        <f>_xlfn.XLOOKUP($A43,Enrolment!$A:$A,Enrolment!F:F,,,)</f>
        <v>72</v>
      </c>
      <c r="H43" s="12">
        <f>_xlfn.XLOOKUP($A43,Enrolment!$A:$A,Enrolment!G:G,,,)</f>
        <v>86</v>
      </c>
      <c r="I43" s="12">
        <f>_xlfn.XLOOKUP($A43,Enrolment!$A:$A,Enrolment!H:H,,,)</f>
        <v>69</v>
      </c>
      <c r="J43" s="12">
        <f>_xlfn.XLOOKUP($A43,Enrolment!$A:$A,Enrolment!I:I,,,)</f>
        <v>77</v>
      </c>
      <c r="K43" s="9">
        <f>_xlfn.XLOOKUP(A43,Enrolment!$A:$A,Enrolment!J:J,,,)</f>
        <v>0</v>
      </c>
      <c r="L43" s="13">
        <f t="shared" si="7"/>
        <v>528</v>
      </c>
      <c r="M43" s="4">
        <f t="shared" si="8"/>
        <v>43</v>
      </c>
      <c r="N43" s="4">
        <f t="shared" si="0"/>
        <v>27</v>
      </c>
      <c r="O43" s="4">
        <f t="shared" si="1"/>
        <v>29</v>
      </c>
      <c r="P43" s="4">
        <f t="shared" si="2"/>
        <v>24</v>
      </c>
      <c r="Q43" s="4">
        <f t="shared" si="3"/>
        <v>43</v>
      </c>
      <c r="R43" s="4">
        <f t="shared" si="4"/>
        <v>35</v>
      </c>
      <c r="S43" s="4">
        <f t="shared" si="5"/>
        <v>39</v>
      </c>
      <c r="T43" s="7">
        <f t="shared" si="6"/>
        <v>240</v>
      </c>
      <c r="U43" s="4">
        <f t="shared" si="9"/>
        <v>2</v>
      </c>
      <c r="V43" s="4">
        <f t="shared" si="10"/>
        <v>3</v>
      </c>
      <c r="W43" s="4">
        <f t="shared" si="11"/>
        <v>2</v>
      </c>
      <c r="X43" s="4">
        <f t="shared" si="12"/>
        <v>3</v>
      </c>
      <c r="Y43" s="4">
        <f t="shared" si="13"/>
        <v>2</v>
      </c>
      <c r="Z43" s="4">
        <f t="shared" si="14"/>
        <v>2</v>
      </c>
      <c r="AA43" s="4">
        <f t="shared" si="15"/>
        <v>2</v>
      </c>
      <c r="AB43" s="4">
        <f t="shared" si="16"/>
        <v>0</v>
      </c>
      <c r="AC43" s="14">
        <f t="shared" si="17"/>
        <v>16</v>
      </c>
      <c r="AD43" s="15">
        <f t="shared" si="18"/>
        <v>18.25</v>
      </c>
      <c r="AE43" s="9">
        <f>_xlfn.XLOOKUP(A43,Teachers!A:A,Teachers!C:C,,,)</f>
        <v>19</v>
      </c>
      <c r="AF43" s="10">
        <f t="shared" si="19"/>
        <v>-1</v>
      </c>
      <c r="AG43" s="20"/>
    </row>
    <row r="44" spans="1:33" ht="18.75" customHeight="1" x14ac:dyDescent="0.25">
      <c r="A44" s="4">
        <v>119982</v>
      </c>
      <c r="B44" s="11" t="s">
        <v>55</v>
      </c>
      <c r="C44" s="4">
        <v>5</v>
      </c>
      <c r="D44" s="12">
        <f>_xlfn.XLOOKUP($A44,Enrolment!$A:$A,Enrolment!C:C,,,)</f>
        <v>134</v>
      </c>
      <c r="E44" s="12">
        <f>_xlfn.XLOOKUP($A44,Enrolment!$A:$A,Enrolment!D:D,,,)</f>
        <v>128</v>
      </c>
      <c r="F44" s="12">
        <f>_xlfn.XLOOKUP($A44,Enrolment!$A:$A,Enrolment!E:E,,,)</f>
        <v>120</v>
      </c>
      <c r="G44" s="12">
        <f>_xlfn.XLOOKUP($A44,Enrolment!$A:$A,Enrolment!F:F,,,)</f>
        <v>143</v>
      </c>
      <c r="H44" s="12">
        <f>_xlfn.XLOOKUP($A44,Enrolment!$A:$A,Enrolment!G:G,,,)</f>
        <v>130</v>
      </c>
      <c r="I44" s="12">
        <f>_xlfn.XLOOKUP($A44,Enrolment!$A:$A,Enrolment!H:H,,,)</f>
        <v>150</v>
      </c>
      <c r="J44" s="12">
        <f>_xlfn.XLOOKUP($A44,Enrolment!$A:$A,Enrolment!I:I,,,)</f>
        <v>153</v>
      </c>
      <c r="K44" s="9">
        <f>_xlfn.XLOOKUP(A44,Enrolment!$A:$A,Enrolment!J:J,,,)</f>
        <v>0</v>
      </c>
      <c r="L44" s="13">
        <f t="shared" si="7"/>
        <v>958</v>
      </c>
      <c r="M44" s="4">
        <f t="shared" si="8"/>
        <v>45</v>
      </c>
      <c r="N44" s="4">
        <f t="shared" si="0"/>
        <v>32</v>
      </c>
      <c r="O44" s="4">
        <f t="shared" si="1"/>
        <v>30</v>
      </c>
      <c r="P44" s="4">
        <f t="shared" si="2"/>
        <v>29</v>
      </c>
      <c r="Q44" s="4">
        <f t="shared" si="3"/>
        <v>33</v>
      </c>
      <c r="R44" s="4">
        <f t="shared" si="4"/>
        <v>38</v>
      </c>
      <c r="S44" s="4">
        <f t="shared" si="5"/>
        <v>38</v>
      </c>
      <c r="T44" s="7">
        <f t="shared" si="6"/>
        <v>245</v>
      </c>
      <c r="U44" s="4">
        <f t="shared" si="9"/>
        <v>3</v>
      </c>
      <c r="V44" s="4">
        <f t="shared" si="10"/>
        <v>4</v>
      </c>
      <c r="W44" s="4">
        <f t="shared" si="11"/>
        <v>4</v>
      </c>
      <c r="X44" s="4">
        <f t="shared" si="12"/>
        <v>5</v>
      </c>
      <c r="Y44" s="4">
        <f t="shared" si="13"/>
        <v>4</v>
      </c>
      <c r="Z44" s="4">
        <f t="shared" si="14"/>
        <v>4</v>
      </c>
      <c r="AA44" s="4">
        <f t="shared" si="15"/>
        <v>4</v>
      </c>
      <c r="AB44" s="4">
        <f t="shared" si="16"/>
        <v>0</v>
      </c>
      <c r="AC44" s="14">
        <f t="shared" si="17"/>
        <v>28</v>
      </c>
      <c r="AD44" s="15">
        <f t="shared" si="18"/>
        <v>32.25</v>
      </c>
      <c r="AE44" s="9">
        <f>_xlfn.XLOOKUP(A44,Teachers!A:A,Teachers!C:C,,,)</f>
        <v>30</v>
      </c>
      <c r="AF44" s="10">
        <f t="shared" si="19"/>
        <v>2</v>
      </c>
      <c r="AG44" s="20"/>
    </row>
    <row r="45" spans="1:33" ht="18.75" customHeight="1" x14ac:dyDescent="0.25">
      <c r="A45" s="4">
        <v>119967</v>
      </c>
      <c r="B45" s="11" t="s">
        <v>56</v>
      </c>
      <c r="C45" s="4">
        <v>1</v>
      </c>
      <c r="D45" s="12">
        <f>_xlfn.XLOOKUP($A45,Enrolment!$A:$A,Enrolment!C:C,,,)</f>
        <v>434</v>
      </c>
      <c r="E45" s="12">
        <f>_xlfn.XLOOKUP($A45,Enrolment!$A:$A,Enrolment!D:D,,,)</f>
        <v>413</v>
      </c>
      <c r="F45" s="12">
        <f>_xlfn.XLOOKUP($A45,Enrolment!$A:$A,Enrolment!E:E,,,)</f>
        <v>401</v>
      </c>
      <c r="G45" s="12">
        <f>_xlfn.XLOOKUP($A45,Enrolment!$A:$A,Enrolment!F:F,,,)</f>
        <v>487</v>
      </c>
      <c r="H45" s="12">
        <f>_xlfn.XLOOKUP($A45,Enrolment!$A:$A,Enrolment!G:G,,,)</f>
        <v>420</v>
      </c>
      <c r="I45" s="12">
        <f>_xlfn.XLOOKUP($A45,Enrolment!$A:$A,Enrolment!H:H,,,)</f>
        <v>519</v>
      </c>
      <c r="J45" s="12">
        <f>_xlfn.XLOOKUP($A45,Enrolment!$A:$A,Enrolment!I:I,,,)</f>
        <v>446</v>
      </c>
      <c r="K45" s="9">
        <f>_xlfn.XLOOKUP(A45,Enrolment!$A:$A,Enrolment!J:J,,,)</f>
        <v>0</v>
      </c>
      <c r="L45" s="13">
        <f t="shared" si="7"/>
        <v>3120</v>
      </c>
      <c r="M45" s="4">
        <f t="shared" si="8"/>
        <v>54</v>
      </c>
      <c r="N45" s="4">
        <f t="shared" si="0"/>
        <v>32</v>
      </c>
      <c r="O45" s="4">
        <f t="shared" si="1"/>
        <v>31</v>
      </c>
      <c r="P45" s="4">
        <f t="shared" si="2"/>
        <v>32</v>
      </c>
      <c r="Q45" s="4">
        <f t="shared" si="3"/>
        <v>42</v>
      </c>
      <c r="R45" s="4">
        <f t="shared" si="4"/>
        <v>40</v>
      </c>
      <c r="S45" s="4">
        <f t="shared" si="5"/>
        <v>41</v>
      </c>
      <c r="T45" s="7">
        <f t="shared" si="6"/>
        <v>272</v>
      </c>
      <c r="U45" s="4">
        <f t="shared" si="9"/>
        <v>8</v>
      </c>
      <c r="V45" s="4">
        <f t="shared" si="10"/>
        <v>13</v>
      </c>
      <c r="W45" s="4">
        <f t="shared" si="11"/>
        <v>13</v>
      </c>
      <c r="X45" s="4">
        <f t="shared" si="12"/>
        <v>15</v>
      </c>
      <c r="Y45" s="4">
        <f t="shared" si="13"/>
        <v>10</v>
      </c>
      <c r="Z45" s="4">
        <f t="shared" si="14"/>
        <v>13</v>
      </c>
      <c r="AA45" s="4">
        <f t="shared" si="15"/>
        <v>11</v>
      </c>
      <c r="AB45" s="4">
        <f t="shared" si="16"/>
        <v>0</v>
      </c>
      <c r="AC45" s="14">
        <f t="shared" si="17"/>
        <v>83</v>
      </c>
      <c r="AD45" s="15">
        <f t="shared" si="18"/>
        <v>95.25</v>
      </c>
      <c r="AE45" s="9">
        <f>_xlfn.XLOOKUP(A45,Teachers!A:A,Teachers!C:C,,,)</f>
        <v>91</v>
      </c>
      <c r="AF45" s="10">
        <f t="shared" si="19"/>
        <v>4</v>
      </c>
      <c r="AG45" s="20"/>
    </row>
    <row r="46" spans="1:33" ht="18.75" customHeight="1" x14ac:dyDescent="0.25">
      <c r="A46" s="4">
        <v>119954</v>
      </c>
      <c r="B46" s="11" t="s">
        <v>57</v>
      </c>
      <c r="C46" s="4">
        <v>10</v>
      </c>
      <c r="D46" s="12">
        <f>_xlfn.XLOOKUP($A46,Enrolment!$A:$A,Enrolment!C:C,,,)</f>
        <v>53</v>
      </c>
      <c r="E46" s="12">
        <f>_xlfn.XLOOKUP($A46,Enrolment!$A:$A,Enrolment!D:D,,,)</f>
        <v>50</v>
      </c>
      <c r="F46" s="12">
        <f>_xlfn.XLOOKUP($A46,Enrolment!$A:$A,Enrolment!E:E,,,)</f>
        <v>41</v>
      </c>
      <c r="G46" s="12">
        <f>_xlfn.XLOOKUP($A46,Enrolment!$A:$A,Enrolment!F:F,,,)</f>
        <v>45</v>
      </c>
      <c r="H46" s="12">
        <f>_xlfn.XLOOKUP($A46,Enrolment!$A:$A,Enrolment!G:G,,,)</f>
        <v>49</v>
      </c>
      <c r="I46" s="12">
        <f>_xlfn.XLOOKUP($A46,Enrolment!$A:$A,Enrolment!H:H,,,)</f>
        <v>48</v>
      </c>
      <c r="J46" s="12">
        <f>_xlfn.XLOOKUP($A46,Enrolment!$A:$A,Enrolment!I:I,,,)</f>
        <v>34</v>
      </c>
      <c r="K46" s="9">
        <f>_xlfn.XLOOKUP(A46,Enrolment!$A:$A,Enrolment!J:J,,,)</f>
        <v>0</v>
      </c>
      <c r="L46" s="13">
        <f t="shared" si="7"/>
        <v>320</v>
      </c>
      <c r="M46" s="4">
        <f t="shared" si="8"/>
        <v>53</v>
      </c>
      <c r="N46" s="4">
        <f t="shared" si="0"/>
        <v>25</v>
      </c>
      <c r="O46" s="4">
        <f t="shared" si="1"/>
        <v>21</v>
      </c>
      <c r="P46" s="4">
        <f t="shared" si="2"/>
        <v>23</v>
      </c>
      <c r="Q46" s="4">
        <f t="shared" si="3"/>
        <v>25</v>
      </c>
      <c r="R46" s="4">
        <f t="shared" si="4"/>
        <v>24</v>
      </c>
      <c r="S46" s="4">
        <f t="shared" si="5"/>
        <v>34</v>
      </c>
      <c r="T46" s="7">
        <f t="shared" si="6"/>
        <v>205</v>
      </c>
      <c r="U46" s="4">
        <f t="shared" si="9"/>
        <v>1</v>
      </c>
      <c r="V46" s="4">
        <f t="shared" si="10"/>
        <v>2</v>
      </c>
      <c r="W46" s="4">
        <f t="shared" si="11"/>
        <v>2</v>
      </c>
      <c r="X46" s="4">
        <f t="shared" si="12"/>
        <v>2</v>
      </c>
      <c r="Y46" s="4">
        <f t="shared" si="13"/>
        <v>2</v>
      </c>
      <c r="Z46" s="4">
        <f t="shared" si="14"/>
        <v>2</v>
      </c>
      <c r="AA46" s="4">
        <f t="shared" si="15"/>
        <v>1</v>
      </c>
      <c r="AB46" s="4">
        <f t="shared" si="16"/>
        <v>0</v>
      </c>
      <c r="AC46" s="14">
        <f t="shared" si="17"/>
        <v>12</v>
      </c>
      <c r="AD46" s="15">
        <f t="shared" si="18"/>
        <v>13.75</v>
      </c>
      <c r="AE46" s="9">
        <f>_xlfn.XLOOKUP(A46,Teachers!A:A,Teachers!C:C,,,)</f>
        <v>13</v>
      </c>
      <c r="AF46" s="10">
        <f t="shared" si="19"/>
        <v>1</v>
      </c>
      <c r="AG46" s="20"/>
    </row>
    <row r="47" spans="1:33" ht="18.75" customHeight="1" x14ac:dyDescent="0.25">
      <c r="A47" s="4">
        <v>119987</v>
      </c>
      <c r="B47" s="11" t="s">
        <v>58</v>
      </c>
      <c r="C47" s="4">
        <v>7</v>
      </c>
      <c r="D47" s="12">
        <f>_xlfn.XLOOKUP($A47,Enrolment!$A:$A,Enrolment!C:C,,,)</f>
        <v>196</v>
      </c>
      <c r="E47" s="12">
        <f>_xlfn.XLOOKUP($A47,Enrolment!$A:$A,Enrolment!D:D,,,)</f>
        <v>187</v>
      </c>
      <c r="F47" s="12">
        <f>_xlfn.XLOOKUP($A47,Enrolment!$A:$A,Enrolment!E:E,,,)</f>
        <v>169</v>
      </c>
      <c r="G47" s="12">
        <f>_xlfn.XLOOKUP($A47,Enrolment!$A:$A,Enrolment!F:F,,,)</f>
        <v>171</v>
      </c>
      <c r="H47" s="12">
        <f>_xlfn.XLOOKUP($A47,Enrolment!$A:$A,Enrolment!G:G,,,)</f>
        <v>199</v>
      </c>
      <c r="I47" s="12">
        <f>_xlfn.XLOOKUP($A47,Enrolment!$A:$A,Enrolment!H:H,,,)</f>
        <v>214</v>
      </c>
      <c r="J47" s="12">
        <f>_xlfn.XLOOKUP($A47,Enrolment!$A:$A,Enrolment!I:I,,,)</f>
        <v>198</v>
      </c>
      <c r="K47" s="9">
        <f>_xlfn.XLOOKUP(A47,Enrolment!$A:$A,Enrolment!J:J,,,)</f>
        <v>0</v>
      </c>
      <c r="L47" s="13">
        <f t="shared" si="7"/>
        <v>1334</v>
      </c>
      <c r="M47" s="4">
        <f t="shared" si="8"/>
        <v>49</v>
      </c>
      <c r="N47" s="4">
        <f t="shared" si="0"/>
        <v>31</v>
      </c>
      <c r="O47" s="4">
        <f t="shared" si="1"/>
        <v>28</v>
      </c>
      <c r="P47" s="4">
        <f t="shared" si="2"/>
        <v>29</v>
      </c>
      <c r="Q47" s="4">
        <f t="shared" si="3"/>
        <v>40</v>
      </c>
      <c r="R47" s="4">
        <f t="shared" si="4"/>
        <v>43</v>
      </c>
      <c r="S47" s="4">
        <f t="shared" si="5"/>
        <v>40</v>
      </c>
      <c r="T47" s="7">
        <f t="shared" si="6"/>
        <v>260</v>
      </c>
      <c r="U47" s="4">
        <f t="shared" si="9"/>
        <v>4</v>
      </c>
      <c r="V47" s="4">
        <f t="shared" si="10"/>
        <v>6</v>
      </c>
      <c r="W47" s="4">
        <f t="shared" si="11"/>
        <v>6</v>
      </c>
      <c r="X47" s="4">
        <f t="shared" si="12"/>
        <v>6</v>
      </c>
      <c r="Y47" s="4">
        <f t="shared" si="13"/>
        <v>5</v>
      </c>
      <c r="Z47" s="4">
        <f t="shared" si="14"/>
        <v>5</v>
      </c>
      <c r="AA47" s="4">
        <f t="shared" si="15"/>
        <v>5</v>
      </c>
      <c r="AB47" s="4">
        <f t="shared" si="16"/>
        <v>0</v>
      </c>
      <c r="AC47" s="14">
        <f t="shared" si="17"/>
        <v>37</v>
      </c>
      <c r="AD47" s="15">
        <f t="shared" si="18"/>
        <v>42.25</v>
      </c>
      <c r="AE47" s="9">
        <f>_xlfn.XLOOKUP(A47,Teachers!A:A,Teachers!C:C,,,)</f>
        <v>43</v>
      </c>
      <c r="AF47" s="10">
        <f t="shared" si="19"/>
        <v>-1</v>
      </c>
      <c r="AG47" s="20"/>
    </row>
    <row r="48" spans="1:33" ht="18.75" customHeight="1" x14ac:dyDescent="0.25">
      <c r="A48" s="4">
        <v>119950</v>
      </c>
      <c r="B48" s="11" t="s">
        <v>59</v>
      </c>
      <c r="C48" s="4">
        <v>10</v>
      </c>
      <c r="D48" s="12">
        <f>_xlfn.XLOOKUP($A48,Enrolment!$A:$A,Enrolment!C:C,,,)</f>
        <v>110</v>
      </c>
      <c r="E48" s="12">
        <f>_xlfn.XLOOKUP($A48,Enrolment!$A:$A,Enrolment!D:D,,,)</f>
        <v>105</v>
      </c>
      <c r="F48" s="12">
        <f>_xlfn.XLOOKUP($A48,Enrolment!$A:$A,Enrolment!E:E,,,)</f>
        <v>71</v>
      </c>
      <c r="G48" s="12">
        <f>_xlfn.XLOOKUP($A48,Enrolment!$A:$A,Enrolment!F:F,,,)</f>
        <v>93</v>
      </c>
      <c r="H48" s="12">
        <f>_xlfn.XLOOKUP($A48,Enrolment!$A:$A,Enrolment!G:G,,,)</f>
        <v>94</v>
      </c>
      <c r="I48" s="12">
        <f>_xlfn.XLOOKUP($A48,Enrolment!$A:$A,Enrolment!H:H,,,)</f>
        <v>71</v>
      </c>
      <c r="J48" s="12">
        <f>_xlfn.XLOOKUP($A48,Enrolment!$A:$A,Enrolment!I:I,,,)</f>
        <v>90</v>
      </c>
      <c r="K48" s="9">
        <f>_xlfn.XLOOKUP(A48,Enrolment!$A:$A,Enrolment!J:J,,,)</f>
        <v>0</v>
      </c>
      <c r="L48" s="13">
        <f t="shared" si="7"/>
        <v>634</v>
      </c>
      <c r="M48" s="4">
        <f t="shared" si="8"/>
        <v>55</v>
      </c>
      <c r="N48" s="4">
        <f t="shared" si="0"/>
        <v>26</v>
      </c>
      <c r="O48" s="4">
        <f t="shared" si="1"/>
        <v>24</v>
      </c>
      <c r="P48" s="4">
        <f t="shared" si="2"/>
        <v>31</v>
      </c>
      <c r="Q48" s="4">
        <f t="shared" si="3"/>
        <v>31</v>
      </c>
      <c r="R48" s="4">
        <f t="shared" si="4"/>
        <v>36</v>
      </c>
      <c r="S48" s="4">
        <f t="shared" si="5"/>
        <v>30</v>
      </c>
      <c r="T48" s="7">
        <f t="shared" si="6"/>
        <v>233</v>
      </c>
      <c r="U48" s="4">
        <f t="shared" si="9"/>
        <v>2</v>
      </c>
      <c r="V48" s="4">
        <f t="shared" si="10"/>
        <v>4</v>
      </c>
      <c r="W48" s="4">
        <f t="shared" si="11"/>
        <v>3</v>
      </c>
      <c r="X48" s="4">
        <f t="shared" si="12"/>
        <v>3</v>
      </c>
      <c r="Y48" s="4">
        <f t="shared" si="13"/>
        <v>3</v>
      </c>
      <c r="Z48" s="4">
        <f t="shared" si="14"/>
        <v>2</v>
      </c>
      <c r="AA48" s="4">
        <f t="shared" si="15"/>
        <v>3</v>
      </c>
      <c r="AB48" s="4">
        <f t="shared" si="16"/>
        <v>0</v>
      </c>
      <c r="AC48" s="14">
        <f t="shared" si="17"/>
        <v>20</v>
      </c>
      <c r="AD48" s="15">
        <f t="shared" si="18"/>
        <v>22.75</v>
      </c>
      <c r="AE48" s="9">
        <f>_xlfn.XLOOKUP(A48,Teachers!A:A,Teachers!C:C,,,)</f>
        <v>21</v>
      </c>
      <c r="AF48" s="10">
        <f t="shared" si="19"/>
        <v>2</v>
      </c>
      <c r="AG48" s="20"/>
    </row>
    <row r="49" spans="1:33" ht="18.75" customHeight="1" x14ac:dyDescent="0.25">
      <c r="A49" s="4">
        <v>119961</v>
      </c>
      <c r="B49" s="11" t="s">
        <v>60</v>
      </c>
      <c r="C49" s="4">
        <v>10</v>
      </c>
      <c r="D49" s="12">
        <f>_xlfn.XLOOKUP($A49,Enrolment!$A:$A,Enrolment!C:C,,,)</f>
        <v>93</v>
      </c>
      <c r="E49" s="12">
        <f>_xlfn.XLOOKUP($A49,Enrolment!$A:$A,Enrolment!D:D,,,)</f>
        <v>89</v>
      </c>
      <c r="F49" s="12">
        <f>_xlfn.XLOOKUP($A49,Enrolment!$A:$A,Enrolment!E:E,,,)</f>
        <v>65</v>
      </c>
      <c r="G49" s="12">
        <f>_xlfn.XLOOKUP($A49,Enrolment!$A:$A,Enrolment!F:F,,,)</f>
        <v>76</v>
      </c>
      <c r="H49" s="12">
        <f>_xlfn.XLOOKUP($A49,Enrolment!$A:$A,Enrolment!G:G,,,)</f>
        <v>87</v>
      </c>
      <c r="I49" s="12">
        <f>_xlfn.XLOOKUP($A49,Enrolment!$A:$A,Enrolment!H:H,,,)</f>
        <v>77</v>
      </c>
      <c r="J49" s="12">
        <f>_xlfn.XLOOKUP($A49,Enrolment!$A:$A,Enrolment!I:I,,,)</f>
        <v>82</v>
      </c>
      <c r="K49" s="9">
        <f>_xlfn.XLOOKUP(A49,Enrolment!$A:$A,Enrolment!J:J,,,)</f>
        <v>13</v>
      </c>
      <c r="L49" s="13">
        <f t="shared" si="7"/>
        <v>582</v>
      </c>
      <c r="M49" s="4">
        <f t="shared" si="8"/>
        <v>47</v>
      </c>
      <c r="N49" s="4">
        <f t="shared" si="0"/>
        <v>30</v>
      </c>
      <c r="O49" s="4">
        <f t="shared" si="1"/>
        <v>33</v>
      </c>
      <c r="P49" s="4">
        <f t="shared" si="2"/>
        <v>25</v>
      </c>
      <c r="Q49" s="4">
        <f t="shared" si="3"/>
        <v>29</v>
      </c>
      <c r="R49" s="4">
        <f t="shared" si="4"/>
        <v>39</v>
      </c>
      <c r="S49" s="4">
        <f t="shared" si="5"/>
        <v>41</v>
      </c>
      <c r="T49" s="7">
        <f t="shared" si="6"/>
        <v>244</v>
      </c>
      <c r="U49" s="4">
        <f t="shared" si="9"/>
        <v>2</v>
      </c>
      <c r="V49" s="4">
        <f t="shared" si="10"/>
        <v>3</v>
      </c>
      <c r="W49" s="4">
        <f t="shared" si="11"/>
        <v>2</v>
      </c>
      <c r="X49" s="4">
        <f t="shared" si="12"/>
        <v>3</v>
      </c>
      <c r="Y49" s="4">
        <f t="shared" si="13"/>
        <v>3</v>
      </c>
      <c r="Z49" s="4">
        <f t="shared" si="14"/>
        <v>2</v>
      </c>
      <c r="AA49" s="4">
        <f t="shared" si="15"/>
        <v>2</v>
      </c>
      <c r="AB49" s="4">
        <f t="shared" si="16"/>
        <v>1</v>
      </c>
      <c r="AC49" s="14">
        <f t="shared" si="17"/>
        <v>18</v>
      </c>
      <c r="AD49" s="15">
        <f t="shared" si="18"/>
        <v>20.5</v>
      </c>
      <c r="AE49" s="9">
        <f>_xlfn.XLOOKUP(A49,Teachers!A:A,Teachers!C:C,,,)</f>
        <v>18</v>
      </c>
      <c r="AF49" s="10">
        <f t="shared" si="19"/>
        <v>3</v>
      </c>
      <c r="AG49" s="20"/>
    </row>
    <row r="50" spans="1:33" ht="18.75" customHeight="1" x14ac:dyDescent="0.25">
      <c r="A50" s="4">
        <v>119977</v>
      </c>
      <c r="B50" s="11" t="s">
        <v>61</v>
      </c>
      <c r="C50" s="4">
        <v>6</v>
      </c>
      <c r="D50" s="12">
        <f>_xlfn.XLOOKUP($A50,Enrolment!$A:$A,Enrolment!C:C,,,)</f>
        <v>279</v>
      </c>
      <c r="E50" s="12">
        <f>_xlfn.XLOOKUP($A50,Enrolment!$A:$A,Enrolment!D:D,,,)</f>
        <v>266</v>
      </c>
      <c r="F50" s="12">
        <f>_xlfn.XLOOKUP($A50,Enrolment!$A:$A,Enrolment!E:E,,,)</f>
        <v>249</v>
      </c>
      <c r="G50" s="12">
        <f>_xlfn.XLOOKUP($A50,Enrolment!$A:$A,Enrolment!F:F,,,)</f>
        <v>279</v>
      </c>
      <c r="H50" s="12">
        <f>_xlfn.XLOOKUP($A50,Enrolment!$A:$A,Enrolment!G:G,,,)</f>
        <v>220</v>
      </c>
      <c r="I50" s="12">
        <f>_xlfn.XLOOKUP($A50,Enrolment!$A:$A,Enrolment!H:H,,,)</f>
        <v>323</v>
      </c>
      <c r="J50" s="12">
        <f>_xlfn.XLOOKUP($A50,Enrolment!$A:$A,Enrolment!I:I,,,)</f>
        <v>283</v>
      </c>
      <c r="K50" s="9">
        <f>_xlfn.XLOOKUP(A50,Enrolment!$A:$A,Enrolment!J:J,,,)</f>
        <v>0</v>
      </c>
      <c r="L50" s="13">
        <f t="shared" si="7"/>
        <v>1899</v>
      </c>
      <c r="M50" s="4">
        <f t="shared" si="8"/>
        <v>47</v>
      </c>
      <c r="N50" s="4">
        <f t="shared" si="0"/>
        <v>30</v>
      </c>
      <c r="O50" s="4">
        <f t="shared" si="1"/>
        <v>31</v>
      </c>
      <c r="P50" s="4">
        <f t="shared" si="2"/>
        <v>31</v>
      </c>
      <c r="Q50" s="4">
        <f t="shared" si="3"/>
        <v>37</v>
      </c>
      <c r="R50" s="4">
        <f t="shared" si="4"/>
        <v>40</v>
      </c>
      <c r="S50" s="4">
        <f t="shared" si="5"/>
        <v>40</v>
      </c>
      <c r="T50" s="7">
        <f t="shared" si="6"/>
        <v>256</v>
      </c>
      <c r="U50" s="4">
        <f t="shared" si="9"/>
        <v>6</v>
      </c>
      <c r="V50" s="4">
        <f t="shared" si="10"/>
        <v>9</v>
      </c>
      <c r="W50" s="4">
        <f t="shared" si="11"/>
        <v>8</v>
      </c>
      <c r="X50" s="4">
        <f t="shared" si="12"/>
        <v>9</v>
      </c>
      <c r="Y50" s="4">
        <f t="shared" si="13"/>
        <v>6</v>
      </c>
      <c r="Z50" s="4">
        <f t="shared" si="14"/>
        <v>8</v>
      </c>
      <c r="AA50" s="4">
        <f t="shared" si="15"/>
        <v>7</v>
      </c>
      <c r="AB50" s="4">
        <f t="shared" si="16"/>
        <v>0</v>
      </c>
      <c r="AC50" s="14">
        <f t="shared" si="17"/>
        <v>53</v>
      </c>
      <c r="AD50" s="15">
        <f t="shared" si="18"/>
        <v>60.5</v>
      </c>
      <c r="AE50" s="9">
        <f>_xlfn.XLOOKUP(A50,Teachers!A:A,Teachers!C:C,,,)</f>
        <v>57</v>
      </c>
      <c r="AF50" s="10">
        <f t="shared" si="19"/>
        <v>4</v>
      </c>
      <c r="AG50" s="20"/>
    </row>
    <row r="51" spans="1:33" ht="18.75" customHeight="1" x14ac:dyDescent="0.25">
      <c r="A51" s="4">
        <v>119966</v>
      </c>
      <c r="B51" s="11" t="s">
        <v>62</v>
      </c>
      <c r="C51" s="4">
        <v>1</v>
      </c>
      <c r="D51" s="12">
        <f>_xlfn.XLOOKUP($A51,Enrolment!$A:$A,Enrolment!C:C,,,)</f>
        <v>245</v>
      </c>
      <c r="E51" s="12">
        <f>_xlfn.XLOOKUP($A51,Enrolment!$A:$A,Enrolment!D:D,,,)</f>
        <v>233</v>
      </c>
      <c r="F51" s="12">
        <f>_xlfn.XLOOKUP($A51,Enrolment!$A:$A,Enrolment!E:E,,,)</f>
        <v>207</v>
      </c>
      <c r="G51" s="12">
        <f>_xlfn.XLOOKUP($A51,Enrolment!$A:$A,Enrolment!F:F,,,)</f>
        <v>212</v>
      </c>
      <c r="H51" s="12">
        <f>_xlfn.XLOOKUP($A51,Enrolment!$A:$A,Enrolment!G:G,,,)</f>
        <v>218</v>
      </c>
      <c r="I51" s="12">
        <f>_xlfn.XLOOKUP($A51,Enrolment!$A:$A,Enrolment!H:H,,,)</f>
        <v>251</v>
      </c>
      <c r="J51" s="12">
        <f>_xlfn.XLOOKUP($A51,Enrolment!$A:$A,Enrolment!I:I,,,)</f>
        <v>249</v>
      </c>
      <c r="K51" s="9">
        <f>_xlfn.XLOOKUP(A51,Enrolment!$A:$A,Enrolment!J:J,,,)</f>
        <v>0</v>
      </c>
      <c r="L51" s="13">
        <f t="shared" si="7"/>
        <v>1615</v>
      </c>
      <c r="M51" s="4">
        <f t="shared" si="8"/>
        <v>49</v>
      </c>
      <c r="N51" s="4">
        <f t="shared" si="0"/>
        <v>29</v>
      </c>
      <c r="O51" s="4">
        <f t="shared" si="1"/>
        <v>30</v>
      </c>
      <c r="P51" s="4">
        <f t="shared" si="2"/>
        <v>30</v>
      </c>
      <c r="Q51" s="4">
        <f t="shared" si="3"/>
        <v>36</v>
      </c>
      <c r="R51" s="4">
        <f t="shared" si="4"/>
        <v>42</v>
      </c>
      <c r="S51" s="4">
        <f t="shared" si="5"/>
        <v>42</v>
      </c>
      <c r="T51" s="7">
        <f t="shared" si="6"/>
        <v>258</v>
      </c>
      <c r="U51" s="4">
        <f t="shared" si="9"/>
        <v>5</v>
      </c>
      <c r="V51" s="4">
        <f t="shared" si="10"/>
        <v>8</v>
      </c>
      <c r="W51" s="4">
        <f t="shared" si="11"/>
        <v>7</v>
      </c>
      <c r="X51" s="4">
        <f t="shared" si="12"/>
        <v>7</v>
      </c>
      <c r="Y51" s="4">
        <f t="shared" si="13"/>
        <v>6</v>
      </c>
      <c r="Z51" s="4">
        <f t="shared" si="14"/>
        <v>6</v>
      </c>
      <c r="AA51" s="4">
        <f t="shared" si="15"/>
        <v>6</v>
      </c>
      <c r="AB51" s="4">
        <f t="shared" si="16"/>
        <v>0</v>
      </c>
      <c r="AC51" s="14">
        <f t="shared" si="17"/>
        <v>45</v>
      </c>
      <c r="AD51" s="15">
        <f t="shared" si="18"/>
        <v>51.25</v>
      </c>
      <c r="AE51" s="9">
        <f>_xlfn.XLOOKUP(A51,Teachers!A:A,Teachers!C:C,,,)</f>
        <v>46</v>
      </c>
      <c r="AF51" s="10">
        <f t="shared" si="19"/>
        <v>5</v>
      </c>
      <c r="AG51" s="20"/>
    </row>
    <row r="52" spans="1:33" ht="18.75" customHeight="1" x14ac:dyDescent="0.25">
      <c r="A52" s="4">
        <v>119989</v>
      </c>
      <c r="B52" s="11" t="s">
        <v>63</v>
      </c>
      <c r="C52" s="4">
        <v>7</v>
      </c>
      <c r="D52" s="12">
        <f>_xlfn.XLOOKUP($A52,Enrolment!$A:$A,Enrolment!C:C,,,)</f>
        <v>287</v>
      </c>
      <c r="E52" s="12">
        <f>_xlfn.XLOOKUP($A52,Enrolment!$A:$A,Enrolment!D:D,,,)</f>
        <v>273</v>
      </c>
      <c r="F52" s="12">
        <f>_xlfn.XLOOKUP($A52,Enrolment!$A:$A,Enrolment!E:E,,,)</f>
        <v>301</v>
      </c>
      <c r="G52" s="12">
        <f>_xlfn.XLOOKUP($A52,Enrolment!$A:$A,Enrolment!F:F,,,)</f>
        <v>342</v>
      </c>
      <c r="H52" s="12">
        <f>_xlfn.XLOOKUP($A52,Enrolment!$A:$A,Enrolment!G:G,,,)</f>
        <v>319</v>
      </c>
      <c r="I52" s="12">
        <f>_xlfn.XLOOKUP($A52,Enrolment!$A:$A,Enrolment!H:H,,,)</f>
        <v>350</v>
      </c>
      <c r="J52" s="12">
        <f>_xlfn.XLOOKUP($A52,Enrolment!$A:$A,Enrolment!I:I,,,)</f>
        <v>345</v>
      </c>
      <c r="K52" s="9">
        <f>_xlfn.XLOOKUP(A52,Enrolment!$A:$A,Enrolment!J:J,,,)</f>
        <v>168</v>
      </c>
      <c r="L52" s="13">
        <f t="shared" si="7"/>
        <v>2385</v>
      </c>
      <c r="M52" s="4">
        <f t="shared" si="8"/>
        <v>48</v>
      </c>
      <c r="N52" s="4">
        <f t="shared" si="0"/>
        <v>30</v>
      </c>
      <c r="O52" s="4">
        <f t="shared" si="1"/>
        <v>30</v>
      </c>
      <c r="P52" s="4">
        <f t="shared" si="2"/>
        <v>31</v>
      </c>
      <c r="Q52" s="4">
        <f t="shared" si="3"/>
        <v>40</v>
      </c>
      <c r="R52" s="4">
        <f t="shared" si="4"/>
        <v>39</v>
      </c>
      <c r="S52" s="4">
        <f t="shared" si="5"/>
        <v>38</v>
      </c>
      <c r="T52" s="7">
        <f t="shared" si="6"/>
        <v>256</v>
      </c>
      <c r="U52" s="4">
        <f t="shared" si="9"/>
        <v>6</v>
      </c>
      <c r="V52" s="4">
        <f t="shared" si="10"/>
        <v>9</v>
      </c>
      <c r="W52" s="4">
        <f t="shared" si="11"/>
        <v>10</v>
      </c>
      <c r="X52" s="4">
        <f t="shared" si="12"/>
        <v>11</v>
      </c>
      <c r="Y52" s="4">
        <f t="shared" si="13"/>
        <v>8</v>
      </c>
      <c r="Z52" s="4">
        <f t="shared" si="14"/>
        <v>9</v>
      </c>
      <c r="AA52" s="4">
        <f t="shared" si="15"/>
        <v>9</v>
      </c>
      <c r="AB52" s="4">
        <f t="shared" si="16"/>
        <v>12</v>
      </c>
      <c r="AC52" s="14">
        <f t="shared" si="17"/>
        <v>74</v>
      </c>
      <c r="AD52" s="15">
        <f t="shared" si="18"/>
        <v>83.25</v>
      </c>
      <c r="AE52" s="9">
        <f>_xlfn.XLOOKUP(A52,Teachers!A:A,Teachers!C:C,,,)</f>
        <v>81</v>
      </c>
      <c r="AF52" s="10">
        <f t="shared" si="19"/>
        <v>2</v>
      </c>
      <c r="AG52" s="20"/>
    </row>
  </sheetData>
  <mergeCells count="12">
    <mergeCell ref="U7:AC7"/>
    <mergeCell ref="AD7:AG7"/>
    <mergeCell ref="A1:AG1"/>
    <mergeCell ref="A2:AG2"/>
    <mergeCell ref="A3:AG3"/>
    <mergeCell ref="A4:AG4"/>
    <mergeCell ref="A5:AG5"/>
    <mergeCell ref="A7:A8"/>
    <mergeCell ref="B7:B8"/>
    <mergeCell ref="C7:C8"/>
    <mergeCell ref="D7:L7"/>
    <mergeCell ref="M7:T7"/>
  </mergeCells>
  <conditionalFormatting sqref="N9:P52">
    <cfRule type="cellIs" dxfId="9" priority="2" operator="greaterThan">
      <formula>35</formula>
    </cfRule>
  </conditionalFormatting>
  <conditionalFormatting sqref="Q9:S52">
    <cfRule type="cellIs" dxfId="8" priority="1" operator="greaterThan">
      <formula>45</formula>
    </cfRule>
  </conditionalFormatting>
  <conditionalFormatting sqref="AF8 AG55:AG994">
    <cfRule type="cellIs" dxfId="7" priority="3" operator="greaterThan">
      <formula>1</formula>
    </cfRule>
  </conditionalFormatting>
  <conditionalFormatting sqref="AF9:AF52">
    <cfRule type="cellIs" dxfId="6" priority="4" operator="lessThan">
      <formula>0</formula>
    </cfRule>
  </conditionalFormatting>
  <printOptions horizontalCentered="1"/>
  <pageMargins left="0.25" right="0.25" top="0.25" bottom="0.25" header="0" footer="0"/>
  <pageSetup paperSize="14" scale="82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726B-BAD0-4C95-B5B1-750B50734CE3}">
  <dimension ref="A1:C49"/>
  <sheetViews>
    <sheetView workbookViewId="0">
      <selection activeCell="E13" sqref="E13"/>
    </sheetView>
  </sheetViews>
  <sheetFormatPr defaultRowHeight="14.4" x14ac:dyDescent="0.3"/>
  <cols>
    <col min="1" max="1" width="9.5546875" bestFit="1" customWidth="1"/>
    <col min="2" max="2" width="16.77734375" bestFit="1" customWidth="1"/>
    <col min="3" max="3" width="14.21875" bestFit="1" customWidth="1"/>
  </cols>
  <sheetData>
    <row r="1" spans="1:3" x14ac:dyDescent="0.3">
      <c r="A1" s="24" t="s">
        <v>123</v>
      </c>
      <c r="B1" t="s">
        <v>74</v>
      </c>
    </row>
    <row r="2" spans="1:3" x14ac:dyDescent="0.3">
      <c r="A2" t="s">
        <v>73</v>
      </c>
      <c r="B2" t="s">
        <v>74</v>
      </c>
      <c r="C2" t="s">
        <v>75</v>
      </c>
    </row>
    <row r="3" spans="1:3" x14ac:dyDescent="0.3">
      <c r="A3">
        <v>119972</v>
      </c>
      <c r="B3" s="17" t="s">
        <v>28</v>
      </c>
      <c r="C3">
        <v>40</v>
      </c>
    </row>
    <row r="4" spans="1:3" x14ac:dyDescent="0.3">
      <c r="A4">
        <v>119973</v>
      </c>
      <c r="B4" s="17" t="s">
        <v>33</v>
      </c>
      <c r="C4">
        <v>42</v>
      </c>
    </row>
    <row r="5" spans="1:3" x14ac:dyDescent="0.3">
      <c r="A5">
        <v>119985</v>
      </c>
      <c r="B5" s="17" t="s">
        <v>25</v>
      </c>
      <c r="C5">
        <v>69</v>
      </c>
    </row>
    <row r="6" spans="1:3" x14ac:dyDescent="0.3">
      <c r="A6">
        <v>119986</v>
      </c>
      <c r="B6" s="17" t="s">
        <v>21</v>
      </c>
      <c r="C6">
        <v>43</v>
      </c>
    </row>
    <row r="7" spans="1:3" x14ac:dyDescent="0.3">
      <c r="A7">
        <v>119974</v>
      </c>
      <c r="B7" s="17" t="s">
        <v>22</v>
      </c>
      <c r="C7">
        <v>49</v>
      </c>
    </row>
    <row r="8" spans="1:3" x14ac:dyDescent="0.3">
      <c r="A8">
        <v>119963</v>
      </c>
      <c r="B8" s="17" t="s">
        <v>31</v>
      </c>
      <c r="C8">
        <v>105</v>
      </c>
    </row>
    <row r="9" spans="1:3" x14ac:dyDescent="0.3">
      <c r="A9">
        <v>119950</v>
      </c>
      <c r="B9" s="17" t="s">
        <v>59</v>
      </c>
      <c r="C9">
        <v>21</v>
      </c>
    </row>
    <row r="10" spans="1:3" x14ac:dyDescent="0.3">
      <c r="A10">
        <v>119975</v>
      </c>
      <c r="B10" s="17" t="s">
        <v>23</v>
      </c>
      <c r="C10">
        <v>59</v>
      </c>
    </row>
    <row r="11" spans="1:3" x14ac:dyDescent="0.3">
      <c r="A11">
        <v>119964</v>
      </c>
      <c r="B11" s="17" t="s">
        <v>20</v>
      </c>
      <c r="C11">
        <v>51</v>
      </c>
    </row>
    <row r="12" spans="1:3" x14ac:dyDescent="0.3">
      <c r="A12">
        <v>119976</v>
      </c>
      <c r="B12" s="17" t="s">
        <v>34</v>
      </c>
      <c r="C12">
        <v>39</v>
      </c>
    </row>
    <row r="13" spans="1:3" x14ac:dyDescent="0.3">
      <c r="A13">
        <v>119951</v>
      </c>
      <c r="B13" s="17" t="s">
        <v>41</v>
      </c>
      <c r="C13">
        <v>13</v>
      </c>
    </row>
    <row r="14" spans="1:3" x14ac:dyDescent="0.3">
      <c r="A14">
        <v>119987</v>
      </c>
      <c r="B14" s="17" t="s">
        <v>58</v>
      </c>
      <c r="C14">
        <v>43</v>
      </c>
    </row>
    <row r="15" spans="1:3" x14ac:dyDescent="0.3">
      <c r="A15">
        <v>502529</v>
      </c>
      <c r="B15" s="17" t="s">
        <v>48</v>
      </c>
      <c r="C15">
        <v>9</v>
      </c>
    </row>
    <row r="16" spans="1:3" x14ac:dyDescent="0.3">
      <c r="A16">
        <v>119954</v>
      </c>
      <c r="B16" s="17" t="s">
        <v>57</v>
      </c>
      <c r="C16">
        <v>13</v>
      </c>
    </row>
    <row r="17" spans="1:3" x14ac:dyDescent="0.3">
      <c r="A17">
        <v>119952</v>
      </c>
      <c r="B17" s="17" t="s">
        <v>39</v>
      </c>
      <c r="C17">
        <v>14</v>
      </c>
    </row>
    <row r="18" spans="1:3" x14ac:dyDescent="0.3">
      <c r="A18">
        <v>119977</v>
      </c>
      <c r="B18" s="17" t="s">
        <v>61</v>
      </c>
      <c r="C18">
        <v>57</v>
      </c>
    </row>
    <row r="19" spans="1:3" x14ac:dyDescent="0.3">
      <c r="A19">
        <v>119965</v>
      </c>
      <c r="B19" s="17" t="s">
        <v>50</v>
      </c>
      <c r="C19">
        <v>28</v>
      </c>
    </row>
    <row r="20" spans="1:3" x14ac:dyDescent="0.3">
      <c r="A20">
        <v>119988</v>
      </c>
      <c r="B20" s="17" t="s">
        <v>53</v>
      </c>
      <c r="C20">
        <v>33</v>
      </c>
    </row>
    <row r="21" spans="1:3" x14ac:dyDescent="0.3">
      <c r="A21">
        <v>119989</v>
      </c>
      <c r="B21" s="17" t="s">
        <v>63</v>
      </c>
      <c r="C21">
        <v>81</v>
      </c>
    </row>
    <row r="22" spans="1:3" x14ac:dyDescent="0.3">
      <c r="A22">
        <v>119990</v>
      </c>
      <c r="B22" s="17" t="s">
        <v>44</v>
      </c>
      <c r="C22">
        <v>32</v>
      </c>
    </row>
    <row r="23" spans="1:3" x14ac:dyDescent="0.3">
      <c r="A23">
        <v>119966</v>
      </c>
      <c r="B23" s="17" t="s">
        <v>62</v>
      </c>
      <c r="C23">
        <v>46</v>
      </c>
    </row>
    <row r="24" spans="1:3" x14ac:dyDescent="0.3">
      <c r="A24">
        <v>119967</v>
      </c>
      <c r="B24" s="17" t="s">
        <v>56</v>
      </c>
      <c r="C24">
        <v>91</v>
      </c>
    </row>
    <row r="25" spans="1:3" x14ac:dyDescent="0.3">
      <c r="A25">
        <v>119978</v>
      </c>
      <c r="B25" s="17" t="s">
        <v>24</v>
      </c>
      <c r="C25">
        <v>50</v>
      </c>
    </row>
    <row r="26" spans="1:3" x14ac:dyDescent="0.3">
      <c r="A26">
        <v>119979</v>
      </c>
      <c r="B26" s="17" t="s">
        <v>49</v>
      </c>
      <c r="C26">
        <v>171</v>
      </c>
    </row>
    <row r="27" spans="1:3" x14ac:dyDescent="0.3">
      <c r="A27">
        <v>119980</v>
      </c>
      <c r="B27" s="17" t="s">
        <v>38</v>
      </c>
      <c r="C27">
        <v>31</v>
      </c>
    </row>
    <row r="28" spans="1:3" x14ac:dyDescent="0.3">
      <c r="A28">
        <v>119968</v>
      </c>
      <c r="B28" s="17" t="s">
        <v>27</v>
      </c>
      <c r="C28">
        <v>49</v>
      </c>
    </row>
    <row r="29" spans="1:3" x14ac:dyDescent="0.3">
      <c r="A29">
        <v>119955</v>
      </c>
      <c r="B29" s="17" t="s">
        <v>47</v>
      </c>
      <c r="C29">
        <v>16</v>
      </c>
    </row>
    <row r="30" spans="1:3" x14ac:dyDescent="0.3">
      <c r="A30">
        <v>119991</v>
      </c>
      <c r="B30" s="17" t="s">
        <v>54</v>
      </c>
      <c r="C30">
        <v>19</v>
      </c>
    </row>
    <row r="31" spans="1:3" x14ac:dyDescent="0.3">
      <c r="A31">
        <v>119956</v>
      </c>
      <c r="B31" s="17" t="s">
        <v>45</v>
      </c>
      <c r="C31">
        <v>25</v>
      </c>
    </row>
    <row r="32" spans="1:3" x14ac:dyDescent="0.3">
      <c r="A32">
        <v>119969</v>
      </c>
      <c r="B32" s="17" t="s">
        <v>43</v>
      </c>
      <c r="C32">
        <v>46</v>
      </c>
    </row>
    <row r="33" spans="1:3" x14ac:dyDescent="0.3">
      <c r="A33">
        <v>119970</v>
      </c>
      <c r="B33" s="17" t="s">
        <v>30</v>
      </c>
      <c r="C33">
        <v>73</v>
      </c>
    </row>
    <row r="34" spans="1:3" x14ac:dyDescent="0.3">
      <c r="A34">
        <v>119957</v>
      </c>
      <c r="B34" s="17" t="s">
        <v>36</v>
      </c>
      <c r="C34">
        <v>31</v>
      </c>
    </row>
    <row r="35" spans="1:3" x14ac:dyDescent="0.3">
      <c r="A35">
        <v>119971</v>
      </c>
      <c r="B35" s="17" t="s">
        <v>42</v>
      </c>
      <c r="C35">
        <v>83</v>
      </c>
    </row>
    <row r="36" spans="1:3" x14ac:dyDescent="0.3">
      <c r="A36">
        <v>119958</v>
      </c>
      <c r="B36" s="17" t="s">
        <v>35</v>
      </c>
      <c r="C36">
        <v>25</v>
      </c>
    </row>
    <row r="37" spans="1:3" x14ac:dyDescent="0.3">
      <c r="A37">
        <v>119981</v>
      </c>
      <c r="B37" s="17" t="s">
        <v>46</v>
      </c>
      <c r="C37">
        <v>9</v>
      </c>
    </row>
    <row r="38" spans="1:3" x14ac:dyDescent="0.3">
      <c r="A38">
        <v>119959</v>
      </c>
      <c r="B38" s="17" t="s">
        <v>52</v>
      </c>
      <c r="C38">
        <v>12</v>
      </c>
    </row>
    <row r="39" spans="1:3" x14ac:dyDescent="0.3">
      <c r="A39">
        <v>119982</v>
      </c>
      <c r="B39" s="17" t="s">
        <v>55</v>
      </c>
      <c r="C39">
        <v>30</v>
      </c>
    </row>
    <row r="40" spans="1:3" x14ac:dyDescent="0.3">
      <c r="A40">
        <v>119983</v>
      </c>
      <c r="B40" s="17" t="s">
        <v>32</v>
      </c>
      <c r="C40">
        <v>50</v>
      </c>
    </row>
    <row r="41" spans="1:3" x14ac:dyDescent="0.3">
      <c r="A41">
        <v>119984</v>
      </c>
      <c r="B41" s="17" t="s">
        <v>26</v>
      </c>
      <c r="C41">
        <v>49</v>
      </c>
    </row>
    <row r="42" spans="1:3" x14ac:dyDescent="0.3">
      <c r="A42">
        <v>119960</v>
      </c>
      <c r="B42" s="17" t="s">
        <v>29</v>
      </c>
      <c r="C42">
        <v>28</v>
      </c>
    </row>
    <row r="43" spans="1:3" x14ac:dyDescent="0.3">
      <c r="A43">
        <v>119992</v>
      </c>
      <c r="B43" s="17" t="s">
        <v>40</v>
      </c>
      <c r="C43">
        <v>12</v>
      </c>
    </row>
    <row r="44" spans="1:3" x14ac:dyDescent="0.3">
      <c r="A44">
        <v>119993</v>
      </c>
      <c r="B44" s="17" t="s">
        <v>37</v>
      </c>
      <c r="C44">
        <v>23</v>
      </c>
    </row>
    <row r="45" spans="1:3" x14ac:dyDescent="0.3">
      <c r="A45">
        <v>119961</v>
      </c>
      <c r="B45" s="17" t="s">
        <v>60</v>
      </c>
      <c r="C45">
        <v>18</v>
      </c>
    </row>
    <row r="46" spans="1:3" x14ac:dyDescent="0.3">
      <c r="A46">
        <v>119962</v>
      </c>
      <c r="B46" s="17" t="s">
        <v>51</v>
      </c>
      <c r="C46">
        <v>14</v>
      </c>
    </row>
    <row r="47" spans="1:3" x14ac:dyDescent="0.3">
      <c r="B47" s="18" t="s">
        <v>71</v>
      </c>
      <c r="C47" s="19">
        <v>1842</v>
      </c>
    </row>
    <row r="49" spans="1:1" x14ac:dyDescent="0.3">
      <c r="A49" s="25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A6CA-5910-4892-9DA5-4BA39096B327}">
  <dimension ref="A1:K49"/>
  <sheetViews>
    <sheetView topLeftCell="A20" workbookViewId="0">
      <selection activeCell="K25" sqref="K25"/>
    </sheetView>
  </sheetViews>
  <sheetFormatPr defaultRowHeight="14.4" x14ac:dyDescent="0.3"/>
  <cols>
    <col min="2" max="2" width="16.77734375" bestFit="1" customWidth="1"/>
    <col min="3" max="3" width="6.5546875" style="28" bestFit="1" customWidth="1"/>
    <col min="4" max="9" width="7.33203125" style="28" bestFit="1" customWidth="1"/>
    <col min="10" max="10" width="11.109375" style="28" bestFit="1" customWidth="1"/>
    <col min="11" max="11" width="10.6640625" style="28" bestFit="1" customWidth="1"/>
  </cols>
  <sheetData>
    <row r="1" spans="1:11" x14ac:dyDescent="0.3">
      <c r="B1" t="s">
        <v>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72</v>
      </c>
      <c r="K1" s="28" t="s">
        <v>71</v>
      </c>
    </row>
    <row r="2" spans="1:11" x14ac:dyDescent="0.3">
      <c r="A2">
        <v>119972</v>
      </c>
      <c r="B2" t="s">
        <v>77</v>
      </c>
      <c r="C2" s="28">
        <v>168</v>
      </c>
      <c r="D2" s="28">
        <v>160</v>
      </c>
      <c r="E2" s="28">
        <v>167</v>
      </c>
      <c r="F2" s="28">
        <v>195</v>
      </c>
      <c r="G2" s="28">
        <v>200</v>
      </c>
      <c r="H2" s="28">
        <v>196</v>
      </c>
      <c r="I2" s="28">
        <v>184</v>
      </c>
      <c r="J2" s="28">
        <v>0</v>
      </c>
      <c r="K2" s="28">
        <f>SUM(D2:J2)</f>
        <v>1102</v>
      </c>
    </row>
    <row r="3" spans="1:11" x14ac:dyDescent="0.3">
      <c r="A3">
        <v>119973</v>
      </c>
      <c r="B3" t="s">
        <v>78</v>
      </c>
      <c r="C3" s="28">
        <v>235</v>
      </c>
      <c r="D3" s="28">
        <v>224</v>
      </c>
      <c r="E3" s="28">
        <v>191</v>
      </c>
      <c r="F3" s="28">
        <v>199</v>
      </c>
      <c r="G3" s="28">
        <v>205</v>
      </c>
      <c r="H3" s="28">
        <v>236</v>
      </c>
      <c r="I3" s="28">
        <v>202</v>
      </c>
      <c r="J3" s="28">
        <v>0</v>
      </c>
      <c r="K3" s="28">
        <f t="shared" ref="K3:K45" si="0">SUM(D3:J3)</f>
        <v>1257</v>
      </c>
    </row>
    <row r="4" spans="1:11" x14ac:dyDescent="0.3">
      <c r="A4">
        <v>119985</v>
      </c>
      <c r="B4" t="s">
        <v>79</v>
      </c>
      <c r="C4" s="28">
        <v>261</v>
      </c>
      <c r="D4" s="28">
        <v>249</v>
      </c>
      <c r="E4" s="28">
        <v>265</v>
      </c>
      <c r="F4" s="28">
        <v>294</v>
      </c>
      <c r="G4" s="28">
        <v>337</v>
      </c>
      <c r="H4" s="28">
        <v>309</v>
      </c>
      <c r="I4" s="28">
        <v>305</v>
      </c>
      <c r="J4" s="28">
        <v>0</v>
      </c>
      <c r="K4" s="28">
        <f t="shared" si="0"/>
        <v>1759</v>
      </c>
    </row>
    <row r="5" spans="1:11" x14ac:dyDescent="0.3">
      <c r="A5">
        <v>119986</v>
      </c>
      <c r="B5" t="s">
        <v>80</v>
      </c>
      <c r="C5" s="28">
        <v>197</v>
      </c>
      <c r="D5" s="28">
        <v>188</v>
      </c>
      <c r="E5" s="28">
        <v>204</v>
      </c>
      <c r="F5" s="28">
        <v>235</v>
      </c>
      <c r="G5" s="28">
        <v>227</v>
      </c>
      <c r="H5" s="28">
        <v>284</v>
      </c>
      <c r="I5" s="28">
        <v>220</v>
      </c>
      <c r="J5" s="28">
        <v>0</v>
      </c>
      <c r="K5" s="28">
        <f t="shared" si="0"/>
        <v>1358</v>
      </c>
    </row>
    <row r="6" spans="1:11" x14ac:dyDescent="0.3">
      <c r="A6">
        <v>119974</v>
      </c>
      <c r="B6" t="s">
        <v>81</v>
      </c>
      <c r="C6" s="28">
        <v>217</v>
      </c>
      <c r="D6" s="28">
        <v>207</v>
      </c>
      <c r="E6" s="28">
        <v>209</v>
      </c>
      <c r="F6" s="28">
        <v>221</v>
      </c>
      <c r="G6" s="28">
        <v>225</v>
      </c>
      <c r="H6" s="28">
        <v>244</v>
      </c>
      <c r="I6" s="28">
        <v>201</v>
      </c>
      <c r="J6" s="28">
        <v>0</v>
      </c>
      <c r="K6" s="28">
        <f t="shared" si="0"/>
        <v>1307</v>
      </c>
    </row>
    <row r="7" spans="1:11" x14ac:dyDescent="0.3">
      <c r="A7">
        <v>119963</v>
      </c>
      <c r="B7" t="s">
        <v>82</v>
      </c>
      <c r="C7" s="28">
        <v>507</v>
      </c>
      <c r="D7" s="28">
        <v>483</v>
      </c>
      <c r="E7" s="28">
        <v>450</v>
      </c>
      <c r="F7" s="28">
        <v>498</v>
      </c>
      <c r="G7" s="28">
        <v>526</v>
      </c>
      <c r="H7" s="28">
        <v>607</v>
      </c>
      <c r="I7" s="28">
        <v>566</v>
      </c>
      <c r="J7" s="28">
        <v>0</v>
      </c>
      <c r="K7" s="28">
        <f t="shared" si="0"/>
        <v>3130</v>
      </c>
    </row>
    <row r="8" spans="1:11" x14ac:dyDescent="0.3">
      <c r="A8">
        <v>119950</v>
      </c>
      <c r="B8" t="s">
        <v>83</v>
      </c>
      <c r="C8" s="28">
        <v>110</v>
      </c>
      <c r="D8" s="28">
        <v>105</v>
      </c>
      <c r="E8" s="28">
        <v>71</v>
      </c>
      <c r="F8" s="28">
        <v>93</v>
      </c>
      <c r="G8" s="28">
        <v>94</v>
      </c>
      <c r="H8" s="28">
        <v>71</v>
      </c>
      <c r="I8" s="28">
        <v>90</v>
      </c>
      <c r="J8" s="28">
        <v>0</v>
      </c>
      <c r="K8" s="28">
        <f t="shared" si="0"/>
        <v>524</v>
      </c>
    </row>
    <row r="9" spans="1:11" x14ac:dyDescent="0.3">
      <c r="A9">
        <v>119975</v>
      </c>
      <c r="B9" t="s">
        <v>84</v>
      </c>
      <c r="C9" s="28">
        <v>309</v>
      </c>
      <c r="D9" s="28">
        <v>294</v>
      </c>
      <c r="E9" s="28">
        <v>244</v>
      </c>
      <c r="F9" s="28">
        <v>309</v>
      </c>
      <c r="G9" s="28">
        <v>281</v>
      </c>
      <c r="H9" s="28">
        <v>345</v>
      </c>
      <c r="I9" s="28">
        <v>282</v>
      </c>
      <c r="J9" s="28">
        <v>0</v>
      </c>
      <c r="K9" s="28">
        <f t="shared" si="0"/>
        <v>1755</v>
      </c>
    </row>
    <row r="10" spans="1:11" x14ac:dyDescent="0.3">
      <c r="A10">
        <v>119964</v>
      </c>
      <c r="B10" t="s">
        <v>85</v>
      </c>
      <c r="C10" s="28">
        <v>247</v>
      </c>
      <c r="D10" s="28">
        <v>235</v>
      </c>
      <c r="E10" s="28">
        <v>233</v>
      </c>
      <c r="F10" s="28">
        <v>243</v>
      </c>
      <c r="G10" s="28">
        <v>229</v>
      </c>
      <c r="H10" s="28">
        <v>293</v>
      </c>
      <c r="I10" s="28">
        <v>234</v>
      </c>
      <c r="J10" s="28">
        <v>0</v>
      </c>
      <c r="K10" s="28">
        <f t="shared" si="0"/>
        <v>1467</v>
      </c>
    </row>
    <row r="11" spans="1:11" x14ac:dyDescent="0.3">
      <c r="A11">
        <v>119976</v>
      </c>
      <c r="B11" t="s">
        <v>86</v>
      </c>
      <c r="C11" s="28">
        <v>231</v>
      </c>
      <c r="D11" s="28">
        <v>220</v>
      </c>
      <c r="E11" s="28">
        <v>168</v>
      </c>
      <c r="F11" s="28">
        <v>194</v>
      </c>
      <c r="G11" s="28">
        <v>202</v>
      </c>
      <c r="H11" s="28">
        <v>203</v>
      </c>
      <c r="I11" s="28">
        <v>192</v>
      </c>
      <c r="J11" s="28">
        <v>0</v>
      </c>
      <c r="K11" s="28">
        <f t="shared" si="0"/>
        <v>1179</v>
      </c>
    </row>
    <row r="12" spans="1:11" x14ac:dyDescent="0.3">
      <c r="A12">
        <v>119951</v>
      </c>
      <c r="B12" t="s">
        <v>87</v>
      </c>
      <c r="C12" s="28">
        <v>55</v>
      </c>
      <c r="D12" s="28">
        <v>52</v>
      </c>
      <c r="E12" s="28">
        <v>45</v>
      </c>
      <c r="F12" s="28">
        <v>45</v>
      </c>
      <c r="G12" s="28">
        <v>40</v>
      </c>
      <c r="H12" s="28">
        <v>49</v>
      </c>
      <c r="I12" s="28">
        <v>44</v>
      </c>
      <c r="J12" s="28">
        <v>0</v>
      </c>
      <c r="K12" s="28">
        <f t="shared" si="0"/>
        <v>275</v>
      </c>
    </row>
    <row r="13" spans="1:11" x14ac:dyDescent="0.3">
      <c r="A13">
        <v>119987</v>
      </c>
      <c r="B13" t="s">
        <v>88</v>
      </c>
      <c r="C13" s="28">
        <v>196</v>
      </c>
      <c r="D13" s="28">
        <v>187</v>
      </c>
      <c r="E13" s="28">
        <v>169</v>
      </c>
      <c r="F13" s="28">
        <v>171</v>
      </c>
      <c r="G13" s="28">
        <v>199</v>
      </c>
      <c r="H13" s="28">
        <v>214</v>
      </c>
      <c r="I13" s="28">
        <v>198</v>
      </c>
      <c r="J13" s="28">
        <v>0</v>
      </c>
      <c r="K13" s="28">
        <f t="shared" si="0"/>
        <v>1138</v>
      </c>
    </row>
    <row r="14" spans="1:11" x14ac:dyDescent="0.3">
      <c r="A14">
        <v>502529</v>
      </c>
      <c r="B14" t="s">
        <v>89</v>
      </c>
      <c r="C14" s="28">
        <v>15</v>
      </c>
      <c r="D14" s="28">
        <v>14</v>
      </c>
      <c r="E14" s="28">
        <v>15</v>
      </c>
      <c r="F14" s="28">
        <v>26</v>
      </c>
      <c r="G14" s="28">
        <v>14</v>
      </c>
      <c r="H14" s="28">
        <v>20</v>
      </c>
      <c r="I14" s="28">
        <v>13</v>
      </c>
      <c r="J14" s="28">
        <v>0</v>
      </c>
      <c r="K14" s="28">
        <f t="shared" si="0"/>
        <v>102</v>
      </c>
    </row>
    <row r="15" spans="1:11" x14ac:dyDescent="0.3">
      <c r="A15">
        <v>119954</v>
      </c>
      <c r="B15" t="s">
        <v>90</v>
      </c>
      <c r="C15" s="28">
        <v>53</v>
      </c>
      <c r="D15" s="28">
        <v>50</v>
      </c>
      <c r="E15" s="28">
        <v>41</v>
      </c>
      <c r="F15" s="28">
        <v>45</v>
      </c>
      <c r="G15" s="28">
        <v>49</v>
      </c>
      <c r="H15" s="28">
        <v>48</v>
      </c>
      <c r="I15" s="28">
        <v>34</v>
      </c>
      <c r="J15" s="28">
        <v>0</v>
      </c>
      <c r="K15" s="28">
        <f t="shared" si="0"/>
        <v>267</v>
      </c>
    </row>
    <row r="16" spans="1:11" x14ac:dyDescent="0.3">
      <c r="A16">
        <v>119952</v>
      </c>
      <c r="B16" t="s">
        <v>91</v>
      </c>
      <c r="C16" s="28">
        <v>44</v>
      </c>
      <c r="D16" s="28">
        <v>42</v>
      </c>
      <c r="E16" s="28">
        <v>34</v>
      </c>
      <c r="F16" s="28">
        <v>60</v>
      </c>
      <c r="G16" s="28">
        <v>51</v>
      </c>
      <c r="H16" s="28">
        <v>47</v>
      </c>
      <c r="I16" s="28">
        <v>67</v>
      </c>
      <c r="J16" s="28">
        <v>0</v>
      </c>
      <c r="K16" s="28">
        <f t="shared" si="0"/>
        <v>301</v>
      </c>
    </row>
    <row r="17" spans="1:11" x14ac:dyDescent="0.3">
      <c r="A17">
        <v>119977</v>
      </c>
      <c r="B17" t="s">
        <v>92</v>
      </c>
      <c r="C17" s="28">
        <v>279</v>
      </c>
      <c r="D17" s="28">
        <v>266</v>
      </c>
      <c r="E17" s="28">
        <v>249</v>
      </c>
      <c r="F17" s="28">
        <v>279</v>
      </c>
      <c r="G17" s="28">
        <v>220</v>
      </c>
      <c r="H17" s="28">
        <v>323</v>
      </c>
      <c r="I17" s="28">
        <v>283</v>
      </c>
      <c r="J17" s="28">
        <v>0</v>
      </c>
      <c r="K17" s="28">
        <f t="shared" si="0"/>
        <v>1620</v>
      </c>
    </row>
    <row r="18" spans="1:11" x14ac:dyDescent="0.3">
      <c r="A18">
        <v>119965</v>
      </c>
      <c r="B18" t="s">
        <v>93</v>
      </c>
      <c r="C18" s="28">
        <v>138</v>
      </c>
      <c r="D18" s="28">
        <v>131</v>
      </c>
      <c r="E18" s="28">
        <v>109</v>
      </c>
      <c r="F18" s="28">
        <v>135</v>
      </c>
      <c r="G18" s="28">
        <v>115</v>
      </c>
      <c r="H18" s="28">
        <v>144</v>
      </c>
      <c r="I18" s="28">
        <v>109</v>
      </c>
      <c r="J18" s="28">
        <v>0</v>
      </c>
      <c r="K18" s="28">
        <f t="shared" si="0"/>
        <v>743</v>
      </c>
    </row>
    <row r="19" spans="1:11" x14ac:dyDescent="0.3">
      <c r="A19">
        <v>119988</v>
      </c>
      <c r="B19" t="s">
        <v>94</v>
      </c>
      <c r="C19" s="28">
        <v>173</v>
      </c>
      <c r="D19" s="28">
        <v>165</v>
      </c>
      <c r="E19" s="28">
        <v>175</v>
      </c>
      <c r="F19" s="28">
        <v>153</v>
      </c>
      <c r="G19" s="28">
        <v>160</v>
      </c>
      <c r="H19" s="28">
        <v>161</v>
      </c>
      <c r="I19" s="28">
        <v>168</v>
      </c>
      <c r="J19" s="28">
        <v>0</v>
      </c>
      <c r="K19" s="28">
        <f t="shared" si="0"/>
        <v>982</v>
      </c>
    </row>
    <row r="20" spans="1:11" x14ac:dyDescent="0.3">
      <c r="A20">
        <v>119989</v>
      </c>
      <c r="B20" t="s">
        <v>95</v>
      </c>
      <c r="C20" s="28">
        <v>287</v>
      </c>
      <c r="D20" s="28">
        <v>273</v>
      </c>
      <c r="E20" s="28">
        <v>301</v>
      </c>
      <c r="F20" s="28">
        <v>342</v>
      </c>
      <c r="G20" s="28">
        <v>319</v>
      </c>
      <c r="H20" s="28">
        <v>350</v>
      </c>
      <c r="I20" s="28">
        <v>345</v>
      </c>
      <c r="J20" s="28">
        <v>168</v>
      </c>
      <c r="K20" s="28">
        <f t="shared" si="0"/>
        <v>2098</v>
      </c>
    </row>
    <row r="21" spans="1:11" x14ac:dyDescent="0.3">
      <c r="A21">
        <v>119990</v>
      </c>
      <c r="B21" t="s">
        <v>96</v>
      </c>
      <c r="C21" s="28">
        <v>143</v>
      </c>
      <c r="D21" s="28">
        <v>136</v>
      </c>
      <c r="E21" s="28">
        <v>121</v>
      </c>
      <c r="F21" s="28">
        <v>177</v>
      </c>
      <c r="G21" s="28">
        <v>154</v>
      </c>
      <c r="H21" s="28">
        <v>164</v>
      </c>
      <c r="I21" s="28">
        <v>134</v>
      </c>
      <c r="J21" s="28">
        <v>0</v>
      </c>
      <c r="K21" s="28">
        <f t="shared" si="0"/>
        <v>886</v>
      </c>
    </row>
    <row r="22" spans="1:11" x14ac:dyDescent="0.3">
      <c r="A22">
        <v>119966</v>
      </c>
      <c r="B22" t="s">
        <v>97</v>
      </c>
      <c r="C22" s="28">
        <v>245</v>
      </c>
      <c r="D22" s="28">
        <v>233</v>
      </c>
      <c r="E22" s="28">
        <v>207</v>
      </c>
      <c r="F22" s="28">
        <v>212</v>
      </c>
      <c r="G22" s="28">
        <v>218</v>
      </c>
      <c r="H22" s="28">
        <v>251</v>
      </c>
      <c r="I22" s="28">
        <v>249</v>
      </c>
      <c r="J22" s="28">
        <v>0</v>
      </c>
      <c r="K22" s="28">
        <f t="shared" si="0"/>
        <v>1370</v>
      </c>
    </row>
    <row r="23" spans="1:11" x14ac:dyDescent="0.3">
      <c r="A23">
        <v>119967</v>
      </c>
      <c r="B23" t="s">
        <v>98</v>
      </c>
      <c r="C23" s="28">
        <v>434</v>
      </c>
      <c r="D23" s="28">
        <v>413</v>
      </c>
      <c r="E23" s="28">
        <v>401</v>
      </c>
      <c r="F23" s="28">
        <v>487</v>
      </c>
      <c r="G23" s="28">
        <v>420</v>
      </c>
      <c r="H23" s="28">
        <v>519</v>
      </c>
      <c r="I23" s="28">
        <v>446</v>
      </c>
      <c r="J23" s="28">
        <v>0</v>
      </c>
      <c r="K23" s="28">
        <f t="shared" si="0"/>
        <v>2686</v>
      </c>
    </row>
    <row r="24" spans="1:11" x14ac:dyDescent="0.3">
      <c r="A24">
        <v>119978</v>
      </c>
      <c r="B24" t="s">
        <v>99</v>
      </c>
      <c r="C24" s="28">
        <v>235</v>
      </c>
      <c r="D24" s="28">
        <v>224</v>
      </c>
      <c r="E24" s="28">
        <v>229</v>
      </c>
      <c r="F24" s="28">
        <v>237</v>
      </c>
      <c r="G24" s="28">
        <v>235</v>
      </c>
      <c r="H24" s="28">
        <v>289</v>
      </c>
      <c r="I24" s="28">
        <v>274</v>
      </c>
      <c r="J24" s="28">
        <v>0</v>
      </c>
      <c r="K24" s="28">
        <f t="shared" si="0"/>
        <v>1488</v>
      </c>
    </row>
    <row r="25" spans="1:11" x14ac:dyDescent="0.3">
      <c r="A25">
        <v>119979</v>
      </c>
      <c r="B25" t="s">
        <v>100</v>
      </c>
      <c r="C25" s="28">
        <v>816</v>
      </c>
      <c r="D25" s="28">
        <v>777</v>
      </c>
      <c r="E25" s="28">
        <v>713</v>
      </c>
      <c r="F25" s="28">
        <v>891</v>
      </c>
      <c r="G25" s="28">
        <v>862</v>
      </c>
      <c r="H25" s="28">
        <v>898</v>
      </c>
      <c r="I25" s="28">
        <v>826</v>
      </c>
      <c r="J25" s="28">
        <v>181</v>
      </c>
      <c r="K25" s="28">
        <f t="shared" si="0"/>
        <v>5148</v>
      </c>
    </row>
    <row r="26" spans="1:11" x14ac:dyDescent="0.3">
      <c r="A26">
        <v>119980</v>
      </c>
      <c r="B26" t="s">
        <v>101</v>
      </c>
      <c r="C26" s="28">
        <v>186</v>
      </c>
      <c r="D26" s="28">
        <v>177</v>
      </c>
      <c r="E26" s="28">
        <v>130</v>
      </c>
      <c r="F26" s="28">
        <v>134</v>
      </c>
      <c r="G26" s="28">
        <v>148</v>
      </c>
      <c r="H26" s="28">
        <v>161</v>
      </c>
      <c r="I26" s="28">
        <v>138</v>
      </c>
      <c r="J26" s="28">
        <v>0</v>
      </c>
      <c r="K26" s="28">
        <f t="shared" si="0"/>
        <v>888</v>
      </c>
    </row>
    <row r="27" spans="1:11" x14ac:dyDescent="0.3">
      <c r="A27">
        <v>119968</v>
      </c>
      <c r="B27" t="s">
        <v>102</v>
      </c>
      <c r="C27" s="28">
        <v>278</v>
      </c>
      <c r="D27" s="28">
        <v>265</v>
      </c>
      <c r="E27" s="28">
        <v>237</v>
      </c>
      <c r="F27" s="28">
        <v>247</v>
      </c>
      <c r="G27" s="28">
        <v>285</v>
      </c>
      <c r="H27" s="28">
        <v>281</v>
      </c>
      <c r="I27" s="28">
        <v>254</v>
      </c>
      <c r="J27" s="28">
        <v>0</v>
      </c>
      <c r="K27" s="28">
        <f t="shared" si="0"/>
        <v>1569</v>
      </c>
    </row>
    <row r="28" spans="1:11" x14ac:dyDescent="0.3">
      <c r="A28">
        <v>119955</v>
      </c>
      <c r="B28" t="s">
        <v>103</v>
      </c>
      <c r="C28" s="28">
        <v>57</v>
      </c>
      <c r="D28" s="28">
        <v>54</v>
      </c>
      <c r="E28" s="28">
        <v>42</v>
      </c>
      <c r="F28" s="28">
        <v>69</v>
      </c>
      <c r="G28" s="28">
        <v>60</v>
      </c>
      <c r="H28" s="28">
        <v>59</v>
      </c>
      <c r="I28" s="28">
        <v>52</v>
      </c>
      <c r="J28" s="28">
        <v>0</v>
      </c>
      <c r="K28" s="28">
        <f t="shared" si="0"/>
        <v>336</v>
      </c>
    </row>
    <row r="29" spans="1:11" x14ac:dyDescent="0.3">
      <c r="A29">
        <v>119991</v>
      </c>
      <c r="B29" t="s">
        <v>104</v>
      </c>
      <c r="C29" s="28">
        <v>85</v>
      </c>
      <c r="D29" s="28">
        <v>81</v>
      </c>
      <c r="E29" s="28">
        <v>58</v>
      </c>
      <c r="F29" s="28">
        <v>72</v>
      </c>
      <c r="G29" s="28">
        <v>86</v>
      </c>
      <c r="H29" s="28">
        <v>69</v>
      </c>
      <c r="I29" s="28">
        <v>77</v>
      </c>
      <c r="J29" s="28">
        <v>0</v>
      </c>
      <c r="K29" s="28">
        <f t="shared" si="0"/>
        <v>443</v>
      </c>
    </row>
    <row r="30" spans="1:11" x14ac:dyDescent="0.3">
      <c r="A30">
        <v>119956</v>
      </c>
      <c r="B30" t="s">
        <v>105</v>
      </c>
      <c r="C30" s="28">
        <v>126</v>
      </c>
      <c r="D30" s="28">
        <v>120</v>
      </c>
      <c r="E30" s="28">
        <v>94</v>
      </c>
      <c r="F30" s="28">
        <v>112</v>
      </c>
      <c r="G30" s="28">
        <v>109</v>
      </c>
      <c r="H30" s="28">
        <v>92</v>
      </c>
      <c r="I30" s="28">
        <v>100</v>
      </c>
      <c r="J30" s="28">
        <v>0</v>
      </c>
      <c r="K30" s="28">
        <f t="shared" si="0"/>
        <v>627</v>
      </c>
    </row>
    <row r="31" spans="1:11" x14ac:dyDescent="0.3">
      <c r="A31">
        <v>119969</v>
      </c>
      <c r="B31" t="s">
        <v>106</v>
      </c>
      <c r="C31" s="28">
        <v>240</v>
      </c>
      <c r="D31" s="28">
        <v>229</v>
      </c>
      <c r="E31" s="28">
        <v>197</v>
      </c>
      <c r="F31" s="28">
        <v>221</v>
      </c>
      <c r="G31" s="28">
        <v>254</v>
      </c>
      <c r="H31" s="28">
        <v>199</v>
      </c>
      <c r="I31" s="28">
        <v>218</v>
      </c>
      <c r="J31" s="28">
        <v>0</v>
      </c>
      <c r="K31" s="28">
        <f t="shared" si="0"/>
        <v>1318</v>
      </c>
    </row>
    <row r="32" spans="1:11" x14ac:dyDescent="0.3">
      <c r="A32">
        <v>119970</v>
      </c>
      <c r="B32" t="s">
        <v>107</v>
      </c>
      <c r="C32" s="28">
        <v>342</v>
      </c>
      <c r="D32" s="28">
        <v>326</v>
      </c>
      <c r="E32" s="28">
        <v>285</v>
      </c>
      <c r="F32" s="28">
        <v>342</v>
      </c>
      <c r="G32" s="28">
        <v>343</v>
      </c>
      <c r="H32" s="28">
        <v>423</v>
      </c>
      <c r="I32" s="28">
        <v>369</v>
      </c>
      <c r="J32" s="28">
        <v>0</v>
      </c>
      <c r="K32" s="28">
        <f t="shared" si="0"/>
        <v>2088</v>
      </c>
    </row>
    <row r="33" spans="1:11" x14ac:dyDescent="0.3">
      <c r="A33">
        <v>119957</v>
      </c>
      <c r="B33" t="s">
        <v>108</v>
      </c>
      <c r="C33" s="28">
        <v>156</v>
      </c>
      <c r="D33" s="28">
        <v>149</v>
      </c>
      <c r="E33" s="28">
        <v>129</v>
      </c>
      <c r="F33" s="28">
        <v>143</v>
      </c>
      <c r="G33" s="28">
        <v>157</v>
      </c>
      <c r="H33" s="28">
        <v>142</v>
      </c>
      <c r="I33" s="28">
        <v>138</v>
      </c>
      <c r="J33" s="28">
        <v>0</v>
      </c>
      <c r="K33" s="28">
        <f t="shared" si="0"/>
        <v>858</v>
      </c>
    </row>
    <row r="34" spans="1:11" x14ac:dyDescent="0.3">
      <c r="A34">
        <v>119981</v>
      </c>
      <c r="B34" t="s">
        <v>109</v>
      </c>
      <c r="C34" s="28">
        <v>30</v>
      </c>
      <c r="D34" s="28">
        <v>29</v>
      </c>
      <c r="E34" s="28">
        <v>38</v>
      </c>
      <c r="F34" s="28">
        <v>35</v>
      </c>
      <c r="G34" s="28">
        <v>34</v>
      </c>
      <c r="H34" s="28">
        <v>36</v>
      </c>
      <c r="I34" s="28">
        <v>33</v>
      </c>
      <c r="J34" s="28">
        <v>0</v>
      </c>
      <c r="K34" s="28">
        <f t="shared" si="0"/>
        <v>205</v>
      </c>
    </row>
    <row r="35" spans="1:11" x14ac:dyDescent="0.3">
      <c r="A35">
        <v>119971</v>
      </c>
      <c r="B35" t="s">
        <v>110</v>
      </c>
      <c r="C35" s="28">
        <v>436</v>
      </c>
      <c r="D35" s="28">
        <v>415</v>
      </c>
      <c r="E35" s="28">
        <v>371</v>
      </c>
      <c r="F35" s="28">
        <v>421</v>
      </c>
      <c r="G35" s="28">
        <v>415</v>
      </c>
      <c r="H35" s="28">
        <v>450</v>
      </c>
      <c r="I35" s="28">
        <v>437</v>
      </c>
      <c r="J35" s="28">
        <v>0</v>
      </c>
      <c r="K35" s="28">
        <f t="shared" si="0"/>
        <v>2509</v>
      </c>
    </row>
    <row r="36" spans="1:11" x14ac:dyDescent="0.3">
      <c r="A36">
        <v>119958</v>
      </c>
      <c r="B36" t="s">
        <v>111</v>
      </c>
      <c r="C36" s="28">
        <v>121</v>
      </c>
      <c r="D36" s="28">
        <v>115</v>
      </c>
      <c r="E36" s="28">
        <v>117</v>
      </c>
      <c r="F36" s="28">
        <v>119</v>
      </c>
      <c r="G36" s="28">
        <v>109</v>
      </c>
      <c r="H36" s="28">
        <v>114</v>
      </c>
      <c r="I36" s="28">
        <v>150</v>
      </c>
      <c r="J36" s="28">
        <v>0</v>
      </c>
      <c r="K36" s="28">
        <f t="shared" si="0"/>
        <v>724</v>
      </c>
    </row>
    <row r="37" spans="1:11" x14ac:dyDescent="0.3">
      <c r="A37">
        <v>119982</v>
      </c>
      <c r="B37" t="s">
        <v>112</v>
      </c>
      <c r="C37" s="28">
        <v>134</v>
      </c>
      <c r="D37" s="28">
        <v>128</v>
      </c>
      <c r="E37" s="28">
        <v>120</v>
      </c>
      <c r="F37" s="28">
        <v>143</v>
      </c>
      <c r="G37" s="28">
        <v>130</v>
      </c>
      <c r="H37" s="28">
        <v>150</v>
      </c>
      <c r="I37" s="28">
        <v>153</v>
      </c>
      <c r="J37" s="28">
        <v>0</v>
      </c>
      <c r="K37" s="28">
        <f t="shared" si="0"/>
        <v>824</v>
      </c>
    </row>
    <row r="38" spans="1:11" x14ac:dyDescent="0.3">
      <c r="A38">
        <v>119959</v>
      </c>
      <c r="B38" t="s">
        <v>113</v>
      </c>
      <c r="C38" s="28">
        <v>56</v>
      </c>
      <c r="D38" s="28">
        <v>53</v>
      </c>
      <c r="E38" s="28">
        <v>29</v>
      </c>
      <c r="F38" s="28">
        <v>71</v>
      </c>
      <c r="G38" s="28">
        <v>43</v>
      </c>
      <c r="H38" s="28">
        <v>38</v>
      </c>
      <c r="I38" s="28">
        <v>47</v>
      </c>
      <c r="J38" s="28">
        <v>0</v>
      </c>
      <c r="K38" s="28">
        <f t="shared" si="0"/>
        <v>281</v>
      </c>
    </row>
    <row r="39" spans="1:11" x14ac:dyDescent="0.3">
      <c r="A39">
        <v>119983</v>
      </c>
      <c r="B39" t="s">
        <v>114</v>
      </c>
      <c r="C39" s="28">
        <v>248</v>
      </c>
      <c r="D39" s="28">
        <v>236</v>
      </c>
      <c r="E39" s="28">
        <v>214</v>
      </c>
      <c r="F39" s="28">
        <v>237</v>
      </c>
      <c r="G39" s="28">
        <v>232</v>
      </c>
      <c r="H39" s="28">
        <v>281</v>
      </c>
      <c r="I39" s="28">
        <v>223</v>
      </c>
      <c r="J39" s="28">
        <v>0</v>
      </c>
      <c r="K39" s="28">
        <f t="shared" si="0"/>
        <v>1423</v>
      </c>
    </row>
    <row r="40" spans="1:11" x14ac:dyDescent="0.3">
      <c r="A40">
        <v>119984</v>
      </c>
      <c r="B40" t="s">
        <v>115</v>
      </c>
      <c r="C40" s="28">
        <v>237</v>
      </c>
      <c r="D40" s="28">
        <v>226</v>
      </c>
      <c r="E40" s="28">
        <v>192</v>
      </c>
      <c r="F40" s="28">
        <v>215</v>
      </c>
      <c r="G40" s="28">
        <v>270</v>
      </c>
      <c r="H40" s="28">
        <v>255</v>
      </c>
      <c r="I40" s="28">
        <v>223</v>
      </c>
      <c r="J40" s="28">
        <v>0</v>
      </c>
      <c r="K40" s="28">
        <f t="shared" si="0"/>
        <v>1381</v>
      </c>
    </row>
    <row r="41" spans="1:11" x14ac:dyDescent="0.3">
      <c r="A41">
        <v>119960</v>
      </c>
      <c r="B41" t="s">
        <v>116</v>
      </c>
      <c r="C41" s="28">
        <v>149</v>
      </c>
      <c r="D41" s="28">
        <v>142</v>
      </c>
      <c r="E41" s="28">
        <v>126</v>
      </c>
      <c r="F41" s="28">
        <v>126</v>
      </c>
      <c r="G41" s="28">
        <v>105</v>
      </c>
      <c r="H41" s="28">
        <v>117</v>
      </c>
      <c r="I41" s="28">
        <v>136</v>
      </c>
      <c r="J41" s="28">
        <v>0</v>
      </c>
      <c r="K41" s="28">
        <f t="shared" si="0"/>
        <v>752</v>
      </c>
    </row>
    <row r="42" spans="1:11" x14ac:dyDescent="0.3">
      <c r="A42">
        <v>119992</v>
      </c>
      <c r="B42" t="s">
        <v>117</v>
      </c>
      <c r="C42" s="28">
        <v>36</v>
      </c>
      <c r="D42" s="28">
        <v>34</v>
      </c>
      <c r="E42" s="28">
        <v>40</v>
      </c>
      <c r="F42" s="28">
        <v>43</v>
      </c>
      <c r="G42" s="28">
        <v>43</v>
      </c>
      <c r="H42" s="28">
        <v>46</v>
      </c>
      <c r="I42" s="28">
        <v>32</v>
      </c>
      <c r="J42" s="28">
        <v>0</v>
      </c>
      <c r="K42" s="28">
        <f t="shared" si="0"/>
        <v>238</v>
      </c>
    </row>
    <row r="43" spans="1:11" x14ac:dyDescent="0.3">
      <c r="A43">
        <v>119993</v>
      </c>
      <c r="B43" t="s">
        <v>118</v>
      </c>
      <c r="C43" s="28">
        <v>79</v>
      </c>
      <c r="D43" s="28">
        <v>75</v>
      </c>
      <c r="E43" s="28">
        <v>84</v>
      </c>
      <c r="F43" s="28">
        <v>104</v>
      </c>
      <c r="G43" s="28">
        <v>108</v>
      </c>
      <c r="H43" s="28">
        <v>79</v>
      </c>
      <c r="I43" s="28">
        <v>101</v>
      </c>
      <c r="J43" s="28">
        <v>0</v>
      </c>
      <c r="K43" s="28">
        <f t="shared" si="0"/>
        <v>551</v>
      </c>
    </row>
    <row r="44" spans="1:11" x14ac:dyDescent="0.3">
      <c r="A44">
        <v>119961</v>
      </c>
      <c r="B44" t="s">
        <v>119</v>
      </c>
      <c r="C44" s="28">
        <v>93</v>
      </c>
      <c r="D44" s="28">
        <v>89</v>
      </c>
      <c r="E44" s="28">
        <v>65</v>
      </c>
      <c r="F44" s="28">
        <v>76</v>
      </c>
      <c r="G44" s="28">
        <v>87</v>
      </c>
      <c r="H44" s="28">
        <v>77</v>
      </c>
      <c r="I44" s="28">
        <v>82</v>
      </c>
      <c r="J44" s="28">
        <v>13</v>
      </c>
      <c r="K44" s="28">
        <f t="shared" si="0"/>
        <v>489</v>
      </c>
    </row>
    <row r="45" spans="1:11" x14ac:dyDescent="0.3">
      <c r="A45">
        <v>119962</v>
      </c>
      <c r="B45" t="s">
        <v>120</v>
      </c>
      <c r="C45" s="28">
        <v>53</v>
      </c>
      <c r="D45" s="28">
        <v>50</v>
      </c>
      <c r="E45" s="28">
        <v>56</v>
      </c>
      <c r="F45" s="28">
        <v>60</v>
      </c>
      <c r="G45" s="28">
        <v>53</v>
      </c>
      <c r="H45" s="28">
        <v>60</v>
      </c>
      <c r="I45" s="28">
        <v>61</v>
      </c>
      <c r="J45" s="28">
        <v>0</v>
      </c>
      <c r="K45" s="28">
        <f t="shared" si="0"/>
        <v>340</v>
      </c>
    </row>
    <row r="46" spans="1:11" x14ac:dyDescent="0.3">
      <c r="A46" t="e">
        <v>#N/A</v>
      </c>
      <c r="B46" t="s">
        <v>71</v>
      </c>
      <c r="C46" s="28">
        <f>SUM(C2:C45)</f>
        <v>8737</v>
      </c>
      <c r="D46" s="28">
        <f>SUM(D2:D45)</f>
        <v>8321</v>
      </c>
      <c r="E46" s="28">
        <f t="shared" ref="E46:K46" si="1">SUM(E2:E45)</f>
        <v>7635</v>
      </c>
      <c r="F46" s="28">
        <f t="shared" si="1"/>
        <v>8731</v>
      </c>
      <c r="G46" s="28">
        <f t="shared" si="1"/>
        <v>8653</v>
      </c>
      <c r="H46" s="28">
        <f t="shared" si="1"/>
        <v>9394</v>
      </c>
      <c r="I46" s="28">
        <f t="shared" si="1"/>
        <v>8690</v>
      </c>
      <c r="J46" s="28">
        <f t="shared" si="1"/>
        <v>362</v>
      </c>
      <c r="K46" s="28">
        <f t="shared" si="1"/>
        <v>51786</v>
      </c>
    </row>
    <row r="49" spans="1:2" ht="15.6" x14ac:dyDescent="0.3">
      <c r="A49" s="26" t="s">
        <v>122</v>
      </c>
      <c r="B49" s="27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4C91-0B40-4B1B-AC27-0F174C54F79B}">
  <sheetPr>
    <tabColor rgb="FFFF0000"/>
    <pageSetUpPr fitToPage="1"/>
  </sheetPr>
  <dimension ref="A1:BD56"/>
  <sheetViews>
    <sheetView tabSelected="1" zoomScale="80" zoomScaleNormal="80" workbookViewId="0">
      <pane xSplit="2" ySplit="9" topLeftCell="S44" activePane="bottomRight" state="frozen"/>
      <selection activeCell="E26" sqref="E26"/>
      <selection pane="topRight" activeCell="E26" sqref="E26"/>
      <selection pane="bottomLeft" activeCell="E26" sqref="E26"/>
      <selection pane="bottomRight" activeCell="AR56" sqref="AR56"/>
    </sheetView>
  </sheetViews>
  <sheetFormatPr defaultColWidth="14" defaultRowHeight="15" customHeight="1" x14ac:dyDescent="0.25"/>
  <cols>
    <col min="1" max="1" width="8.5546875" style="1" customWidth="1"/>
    <col min="2" max="2" width="18.21875" style="1" customWidth="1"/>
    <col min="3" max="3" width="6.109375" style="1" customWidth="1"/>
    <col min="4" max="11" width="4.77734375" style="1" customWidth="1"/>
    <col min="12" max="12" width="6.21875" style="1" customWidth="1"/>
    <col min="13" max="13" width="4.44140625" style="1" customWidth="1"/>
    <col min="14" max="14" width="4.33203125" style="1" customWidth="1"/>
    <col min="15" max="16" width="4.44140625" style="1" customWidth="1"/>
    <col min="17" max="17" width="4.6640625" style="1" customWidth="1"/>
    <col min="18" max="18" width="4.44140625" style="1" customWidth="1"/>
    <col min="19" max="19" width="4.6640625" style="1" customWidth="1"/>
    <col min="20" max="20" width="5.88671875" style="1" customWidth="1"/>
    <col min="21" max="22" width="3.88671875" style="1" customWidth="1"/>
    <col min="23" max="28" width="4.77734375" style="1" customWidth="1"/>
    <col min="29" max="29" width="7" style="1" customWidth="1"/>
    <col min="30" max="30" width="8.21875" style="1" customWidth="1"/>
    <col min="31" max="31" width="8.21875" style="39" customWidth="1"/>
    <col min="32" max="32" width="6" style="39" customWidth="1"/>
    <col min="33" max="33" width="5.77734375" style="39" customWidth="1"/>
    <col min="34" max="35" width="6.21875" style="39" customWidth="1"/>
    <col min="36" max="36" width="8.77734375" style="39" customWidth="1"/>
    <col min="37" max="39" width="0" style="1" hidden="1" customWidth="1"/>
    <col min="40" max="41" width="0.21875" style="1" hidden="1" customWidth="1"/>
    <col min="42" max="42" width="9.6640625" style="1" customWidth="1"/>
    <col min="43" max="43" width="14" style="1" hidden="1" customWidth="1"/>
    <col min="44" max="44" width="11.77734375" style="1" customWidth="1"/>
    <col min="45" max="45" width="5.33203125" style="1" customWidth="1"/>
    <col min="46" max="46" width="8.44140625" style="1" customWidth="1"/>
    <col min="47" max="47" width="7" style="1" customWidth="1"/>
    <col min="48" max="48" width="10.21875" style="1" customWidth="1"/>
    <col min="49" max="49" width="0.33203125" style="1" customWidth="1"/>
    <col min="50" max="50" width="11.44140625" style="1" customWidth="1"/>
    <col min="51" max="51" width="7" style="73" customWidth="1"/>
    <col min="52" max="52" width="8.44140625" style="73" customWidth="1"/>
    <col min="53" max="53" width="10.88671875" style="1" customWidth="1"/>
    <col min="54" max="54" width="6.88671875" style="1" customWidth="1"/>
    <col min="55" max="55" width="8.44140625" style="1" customWidth="1"/>
    <col min="56" max="56" width="10.88671875" style="1" customWidth="1"/>
    <col min="57" max="16384" width="14" style="1"/>
  </cols>
  <sheetData>
    <row r="1" spans="1:56" ht="21.45" customHeight="1" x14ac:dyDescent="0.35">
      <c r="A1" s="87" t="s">
        <v>203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36">
        <f>SUM(AJ9:AJ53)</f>
        <v>51</v>
      </c>
      <c r="AX1" s="81" t="s">
        <v>204</v>
      </c>
      <c r="AY1" s="72"/>
      <c r="AZ1" s="72"/>
      <c r="BA1" s="81" t="s">
        <v>206</v>
      </c>
      <c r="BD1" s="81" t="s">
        <v>207</v>
      </c>
    </row>
    <row r="2" spans="1:56" ht="14.25" hidden="1" customHeigh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X2" s="81"/>
      <c r="AY2" s="72"/>
      <c r="AZ2" s="72"/>
      <c r="BA2" s="81"/>
      <c r="BD2" s="81"/>
    </row>
    <row r="3" spans="1:56" ht="14.25" hidden="1" customHeight="1" x14ac:dyDescent="0.3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X3" s="81"/>
      <c r="AY3" s="72"/>
      <c r="AZ3" s="72"/>
      <c r="BA3" s="81"/>
      <c r="BD3" s="81"/>
    </row>
    <row r="4" spans="1:56" ht="3" hidden="1" customHeight="1" x14ac:dyDescent="0.3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X4" s="81"/>
      <c r="AY4" s="72"/>
      <c r="AZ4" s="72"/>
      <c r="BA4" s="81"/>
      <c r="BD4" s="81"/>
    </row>
    <row r="5" spans="1:56" ht="14.4" x14ac:dyDescent="0.3">
      <c r="A5" s="89" t="s">
        <v>127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X5" s="81"/>
      <c r="AY5" s="72"/>
      <c r="AZ5" s="72"/>
      <c r="BA5" s="81"/>
      <c r="BD5" s="81"/>
    </row>
    <row r="6" spans="1:56" ht="15" customHeight="1" x14ac:dyDescent="0.3">
      <c r="A6" s="2"/>
      <c r="B6" s="23" t="s">
        <v>6</v>
      </c>
      <c r="M6" s="3" t="s">
        <v>0</v>
      </c>
      <c r="N6" s="3" t="s">
        <v>1</v>
      </c>
      <c r="O6" s="3" t="s">
        <v>1</v>
      </c>
      <c r="P6" s="3" t="s">
        <v>1</v>
      </c>
      <c r="Q6" s="3" t="s">
        <v>2</v>
      </c>
      <c r="R6" s="3" t="s">
        <v>2</v>
      </c>
      <c r="S6" s="3" t="s">
        <v>2</v>
      </c>
      <c r="T6" s="3">
        <v>15</v>
      </c>
      <c r="U6" s="22">
        <v>55</v>
      </c>
      <c r="V6" s="22">
        <v>33</v>
      </c>
      <c r="W6" s="22">
        <v>33</v>
      </c>
      <c r="X6" s="22">
        <v>33</v>
      </c>
      <c r="Y6" s="22">
        <v>43</v>
      </c>
      <c r="Z6" s="22">
        <v>43</v>
      </c>
      <c r="AA6" s="22">
        <v>43</v>
      </c>
      <c r="AB6" s="22">
        <v>15</v>
      </c>
      <c r="AC6" s="21"/>
      <c r="AR6" s="1">
        <v>48</v>
      </c>
      <c r="AX6" s="1">
        <v>15</v>
      </c>
    </row>
    <row r="7" spans="1:56" ht="14.25" customHeight="1" x14ac:dyDescent="0.3">
      <c r="A7" s="84" t="s">
        <v>3</v>
      </c>
      <c r="B7" s="84" t="s">
        <v>4</v>
      </c>
      <c r="C7" s="84" t="s">
        <v>5</v>
      </c>
      <c r="D7" s="84" t="s">
        <v>125</v>
      </c>
      <c r="E7" s="85"/>
      <c r="F7" s="85"/>
      <c r="G7" s="85"/>
      <c r="H7" s="85"/>
      <c r="I7" s="85"/>
      <c r="J7" s="85"/>
      <c r="K7" s="85"/>
      <c r="L7" s="85"/>
      <c r="M7" s="91" t="s">
        <v>6</v>
      </c>
      <c r="N7" s="92"/>
      <c r="O7" s="92"/>
      <c r="P7" s="92"/>
      <c r="Q7" s="92"/>
      <c r="R7" s="92"/>
      <c r="S7" s="92"/>
      <c r="T7" s="93"/>
      <c r="U7" s="84" t="s">
        <v>7</v>
      </c>
      <c r="V7" s="85"/>
      <c r="W7" s="85"/>
      <c r="X7" s="85"/>
      <c r="Y7" s="85"/>
      <c r="Z7" s="85"/>
      <c r="AA7" s="85"/>
      <c r="AB7" s="85"/>
      <c r="AC7" s="85"/>
      <c r="AD7" s="86" t="s">
        <v>126</v>
      </c>
      <c r="AE7" s="85"/>
      <c r="AF7" s="85"/>
      <c r="AG7" s="85"/>
      <c r="AH7" s="85"/>
      <c r="AI7" s="85"/>
      <c r="AJ7" s="85"/>
      <c r="AL7" s="1">
        <v>51</v>
      </c>
      <c r="AN7" s="40">
        <v>50</v>
      </c>
      <c r="AO7" s="20"/>
      <c r="AP7" s="20"/>
      <c r="AQ7" s="20"/>
      <c r="AR7" s="20">
        <f>AR6/AI55</f>
        <v>0.40336134453781514</v>
      </c>
      <c r="AS7" s="20"/>
      <c r="AT7" s="20"/>
      <c r="AU7" s="20"/>
      <c r="AV7" s="82" t="s">
        <v>201</v>
      </c>
      <c r="AX7" s="1">
        <f>AX6/AV55</f>
        <v>0.20547945205479451</v>
      </c>
      <c r="AY7" s="72"/>
      <c r="AZ7" s="72"/>
      <c r="BA7" s="83" t="s">
        <v>201</v>
      </c>
      <c r="BD7" s="83" t="s">
        <v>201</v>
      </c>
    </row>
    <row r="8" spans="1:56" ht="26.55" customHeight="1" x14ac:dyDescent="0.25">
      <c r="A8" s="84"/>
      <c r="B8" s="84"/>
      <c r="C8" s="84"/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6" t="s">
        <v>15</v>
      </c>
      <c r="L8" s="7" t="s">
        <v>16</v>
      </c>
      <c r="M8" s="4" t="s">
        <v>8</v>
      </c>
      <c r="N8" s="4" t="s">
        <v>9</v>
      </c>
      <c r="O8" s="4" t="s">
        <v>10</v>
      </c>
      <c r="P8" s="4" t="s">
        <v>11</v>
      </c>
      <c r="Q8" s="4" t="s">
        <v>12</v>
      </c>
      <c r="R8" s="4" t="s">
        <v>13</v>
      </c>
      <c r="S8" s="4" t="s">
        <v>14</v>
      </c>
      <c r="T8" s="7" t="s">
        <v>16</v>
      </c>
      <c r="U8" s="4" t="s">
        <v>8</v>
      </c>
      <c r="V8" s="4" t="s">
        <v>9</v>
      </c>
      <c r="W8" s="4" t="s">
        <v>10</v>
      </c>
      <c r="X8" s="4" t="s">
        <v>11</v>
      </c>
      <c r="Y8" s="4" t="s">
        <v>12</v>
      </c>
      <c r="Z8" s="4" t="s">
        <v>13</v>
      </c>
      <c r="AA8" s="4" t="s">
        <v>14</v>
      </c>
      <c r="AB8" s="4" t="s">
        <v>15</v>
      </c>
      <c r="AC8" s="7" t="s">
        <v>16</v>
      </c>
      <c r="AD8" s="8" t="s">
        <v>17</v>
      </c>
      <c r="AE8" s="9" t="s">
        <v>18</v>
      </c>
      <c r="AF8" s="4" t="s">
        <v>19</v>
      </c>
      <c r="AG8" s="10" t="s">
        <v>183</v>
      </c>
      <c r="AH8" s="10" t="s">
        <v>182</v>
      </c>
      <c r="AI8" s="10" t="s">
        <v>184</v>
      </c>
      <c r="AJ8" s="80" t="s">
        <v>185</v>
      </c>
      <c r="AL8" s="1">
        <v>122</v>
      </c>
      <c r="AN8" s="41" t="s">
        <v>188</v>
      </c>
      <c r="AO8" s="20">
        <f>AN7/AI55</f>
        <v>0.42016806722689076</v>
      </c>
      <c r="AP8" s="68" t="s">
        <v>195</v>
      </c>
      <c r="AQ8" s="42" t="s">
        <v>189</v>
      </c>
      <c r="AR8" s="68" t="s">
        <v>194</v>
      </c>
      <c r="AS8" s="68"/>
      <c r="AT8" s="68" t="s">
        <v>196</v>
      </c>
      <c r="AU8" s="80" t="s">
        <v>185</v>
      </c>
      <c r="AV8" s="82"/>
      <c r="AY8" s="72" t="s">
        <v>196</v>
      </c>
      <c r="AZ8" s="72" t="s">
        <v>185</v>
      </c>
      <c r="BA8" s="83"/>
      <c r="BB8" s="72" t="s">
        <v>196</v>
      </c>
      <c r="BC8" s="72" t="s">
        <v>185</v>
      </c>
      <c r="BD8" s="83"/>
    </row>
    <row r="9" spans="1:56" s="38" customFormat="1" ht="28.2" customHeight="1" x14ac:dyDescent="0.3">
      <c r="A9" s="10">
        <v>119964</v>
      </c>
      <c r="B9" s="11" t="s">
        <v>20</v>
      </c>
      <c r="C9" s="4">
        <v>1</v>
      </c>
      <c r="D9" s="12">
        <v>247</v>
      </c>
      <c r="E9" s="12">
        <v>235</v>
      </c>
      <c r="F9" s="12">
        <v>233</v>
      </c>
      <c r="G9" s="12">
        <v>243</v>
      </c>
      <c r="H9" s="12">
        <v>229</v>
      </c>
      <c r="I9" s="12">
        <v>293</v>
      </c>
      <c r="J9" s="12">
        <v>234</v>
      </c>
      <c r="K9" s="9">
        <v>0</v>
      </c>
      <c r="L9" s="13">
        <v>1714</v>
      </c>
      <c r="M9" s="4">
        <v>49</v>
      </c>
      <c r="N9" s="4">
        <v>29</v>
      </c>
      <c r="O9" s="4">
        <v>29</v>
      </c>
      <c r="P9" s="4">
        <v>30</v>
      </c>
      <c r="Q9" s="4">
        <v>38</v>
      </c>
      <c r="R9" s="4">
        <v>42</v>
      </c>
      <c r="S9" s="4">
        <v>39</v>
      </c>
      <c r="T9" s="7">
        <v>256</v>
      </c>
      <c r="U9" s="4">
        <v>5</v>
      </c>
      <c r="V9" s="4">
        <v>8</v>
      </c>
      <c r="W9" s="4">
        <v>8</v>
      </c>
      <c r="X9" s="4">
        <v>8</v>
      </c>
      <c r="Y9" s="4">
        <v>6</v>
      </c>
      <c r="Z9" s="4">
        <v>7</v>
      </c>
      <c r="AA9" s="4">
        <v>6</v>
      </c>
      <c r="AB9" s="4">
        <v>0</v>
      </c>
      <c r="AC9" s="14">
        <v>48</v>
      </c>
      <c r="AD9" s="15">
        <v>54.75</v>
      </c>
      <c r="AE9" s="9">
        <v>51</v>
      </c>
      <c r="AF9" s="10">
        <v>4</v>
      </c>
      <c r="AG9" s="10">
        <f>COUNTIF(Transfer!E:E,Elem_!B9)</f>
        <v>2</v>
      </c>
      <c r="AH9" s="10">
        <f>COUNTIF(Transfer!H:H,Elem_!B9)</f>
        <v>1</v>
      </c>
      <c r="AI9" s="37">
        <f>AF9+AG9-AH9</f>
        <v>5</v>
      </c>
      <c r="AJ9" s="37">
        <v>2</v>
      </c>
      <c r="AK9" s="37">
        <v>5</v>
      </c>
      <c r="AL9" s="38">
        <f>ROUND(AK9*$AL$7/$AL$8,0)</f>
        <v>2</v>
      </c>
      <c r="AN9" s="43">
        <f>AI9*0.42</f>
        <v>2.1</v>
      </c>
      <c r="AO9" s="44"/>
      <c r="AP9" s="66" t="s">
        <v>192</v>
      </c>
      <c r="AQ9" s="45">
        <v>3</v>
      </c>
      <c r="AR9" s="47">
        <f>AI9*0.4</f>
        <v>2</v>
      </c>
      <c r="AS9" s="47"/>
      <c r="AT9" s="48">
        <v>2</v>
      </c>
      <c r="AU9" s="47">
        <v>3</v>
      </c>
      <c r="AV9" s="50">
        <f>AI9-AU9</f>
        <v>2</v>
      </c>
      <c r="AW9" s="49">
        <f>AI9-AR9</f>
        <v>3</v>
      </c>
      <c r="AX9" s="38">
        <f>AV9*0.2</f>
        <v>0.4</v>
      </c>
      <c r="AY9" s="39"/>
      <c r="AZ9" s="39"/>
      <c r="BA9" s="49">
        <f>AV9-AZ9</f>
        <v>2</v>
      </c>
      <c r="BB9" s="38">
        <v>2</v>
      </c>
      <c r="BC9" s="38">
        <v>2</v>
      </c>
      <c r="BD9" s="49">
        <f>BA9-BC9</f>
        <v>0</v>
      </c>
    </row>
    <row r="10" spans="1:56" s="38" customFormat="1" ht="28.2" customHeight="1" x14ac:dyDescent="0.3">
      <c r="A10" s="4">
        <v>119986</v>
      </c>
      <c r="B10" s="11" t="s">
        <v>21</v>
      </c>
      <c r="C10" s="4">
        <v>8</v>
      </c>
      <c r="D10" s="12">
        <v>197</v>
      </c>
      <c r="E10" s="12">
        <v>188</v>
      </c>
      <c r="F10" s="12">
        <v>204</v>
      </c>
      <c r="G10" s="12">
        <v>235</v>
      </c>
      <c r="H10" s="12">
        <v>227</v>
      </c>
      <c r="I10" s="12">
        <v>284</v>
      </c>
      <c r="J10" s="12">
        <v>220</v>
      </c>
      <c r="K10" s="9">
        <v>0</v>
      </c>
      <c r="L10" s="13">
        <v>1555</v>
      </c>
      <c r="M10" s="4">
        <v>49</v>
      </c>
      <c r="N10" s="4">
        <v>31</v>
      </c>
      <c r="O10" s="4">
        <v>29</v>
      </c>
      <c r="P10" s="4">
        <v>29</v>
      </c>
      <c r="Q10" s="4">
        <v>38</v>
      </c>
      <c r="R10" s="4">
        <v>41</v>
      </c>
      <c r="S10" s="4">
        <v>37</v>
      </c>
      <c r="T10" s="7">
        <v>254</v>
      </c>
      <c r="U10" s="4">
        <v>4</v>
      </c>
      <c r="V10" s="4">
        <v>6</v>
      </c>
      <c r="W10" s="4">
        <v>7</v>
      </c>
      <c r="X10" s="4">
        <v>8</v>
      </c>
      <c r="Y10" s="4">
        <v>6</v>
      </c>
      <c r="Z10" s="4">
        <v>7</v>
      </c>
      <c r="AA10" s="4">
        <v>6</v>
      </c>
      <c r="AB10" s="4">
        <v>0</v>
      </c>
      <c r="AC10" s="14">
        <v>44</v>
      </c>
      <c r="AD10" s="15">
        <v>50.75</v>
      </c>
      <c r="AE10" s="9">
        <v>43</v>
      </c>
      <c r="AF10" s="10">
        <v>8</v>
      </c>
      <c r="AG10" s="10">
        <f>COUNTIF(Transfer!E:E,Elem_!B10)</f>
        <v>0</v>
      </c>
      <c r="AH10" s="10">
        <f>COUNTIF(Transfer!H:H,Elem_!B10)</f>
        <v>2</v>
      </c>
      <c r="AI10" s="37">
        <f t="shared" ref="AI10:AI53" si="0">AF10+AG10-AH10</f>
        <v>6</v>
      </c>
      <c r="AJ10" s="37">
        <v>2</v>
      </c>
      <c r="AK10" s="37">
        <v>6</v>
      </c>
      <c r="AL10" s="38">
        <f t="shared" ref="AL10:AL53" si="1">ROUND(AK10*$AL$7/$AL$8,0)</f>
        <v>3</v>
      </c>
      <c r="AN10" s="43">
        <f t="shared" ref="AN10:AN53" si="2">AI10*0.42</f>
        <v>2.52</v>
      </c>
      <c r="AO10" s="44"/>
      <c r="AP10" s="66" t="s">
        <v>191</v>
      </c>
      <c r="AQ10" s="45">
        <v>2</v>
      </c>
      <c r="AR10" s="47">
        <f t="shared" ref="AR10:AR53" si="3">AI10*0.4</f>
        <v>2.4000000000000004</v>
      </c>
      <c r="AS10" s="47"/>
      <c r="AT10" s="48">
        <v>3</v>
      </c>
      <c r="AU10" s="47">
        <v>2</v>
      </c>
      <c r="AV10" s="50">
        <f t="shared" ref="AV10:AV54" si="4">AI10-AU10</f>
        <v>4</v>
      </c>
      <c r="AW10" s="49">
        <f t="shared" ref="AW10:AW54" si="5">AI10-AR10</f>
        <v>3.5999999999999996</v>
      </c>
      <c r="AX10" s="38">
        <f t="shared" ref="AX10:AX54" si="6">AV10*0.2</f>
        <v>0.8</v>
      </c>
      <c r="AY10" s="39">
        <v>1</v>
      </c>
      <c r="AZ10" s="39">
        <v>1</v>
      </c>
      <c r="BA10" s="49">
        <f t="shared" ref="BA10:BA54" si="7">AV10-AZ10</f>
        <v>3</v>
      </c>
      <c r="BD10" s="49">
        <f t="shared" ref="BD10:BD54" si="8">BA10-BC10</f>
        <v>3</v>
      </c>
    </row>
    <row r="11" spans="1:56" s="38" customFormat="1" ht="28.2" customHeight="1" x14ac:dyDescent="0.3">
      <c r="A11" s="4">
        <v>119974</v>
      </c>
      <c r="B11" s="11" t="s">
        <v>22</v>
      </c>
      <c r="C11" s="4">
        <v>4</v>
      </c>
      <c r="D11" s="12">
        <v>217</v>
      </c>
      <c r="E11" s="12">
        <v>207</v>
      </c>
      <c r="F11" s="12">
        <v>209</v>
      </c>
      <c r="G11" s="12">
        <v>221</v>
      </c>
      <c r="H11" s="12">
        <v>225</v>
      </c>
      <c r="I11" s="12">
        <v>244</v>
      </c>
      <c r="J11" s="12">
        <v>201</v>
      </c>
      <c r="K11" s="9">
        <v>0</v>
      </c>
      <c r="L11" s="13">
        <v>1524</v>
      </c>
      <c r="M11" s="4">
        <v>54</v>
      </c>
      <c r="N11" s="4">
        <v>30</v>
      </c>
      <c r="O11" s="4">
        <v>30</v>
      </c>
      <c r="P11" s="4">
        <v>32</v>
      </c>
      <c r="Q11" s="4">
        <v>38</v>
      </c>
      <c r="R11" s="4">
        <v>41</v>
      </c>
      <c r="S11" s="4">
        <v>40</v>
      </c>
      <c r="T11" s="7">
        <v>265</v>
      </c>
      <c r="U11" s="4">
        <v>4</v>
      </c>
      <c r="V11" s="4">
        <v>7</v>
      </c>
      <c r="W11" s="4">
        <v>7</v>
      </c>
      <c r="X11" s="4">
        <v>7</v>
      </c>
      <c r="Y11" s="4">
        <v>6</v>
      </c>
      <c r="Z11" s="4">
        <v>6</v>
      </c>
      <c r="AA11" s="4">
        <v>5</v>
      </c>
      <c r="AB11" s="4">
        <v>0</v>
      </c>
      <c r="AC11" s="14">
        <v>42</v>
      </c>
      <c r="AD11" s="15">
        <v>48</v>
      </c>
      <c r="AE11" s="9">
        <v>49</v>
      </c>
      <c r="AF11" s="10">
        <v>-1</v>
      </c>
      <c r="AG11" s="10">
        <f>COUNTIF(Transfer!E:E,Elem_!B11)</f>
        <v>0</v>
      </c>
      <c r="AH11" s="10">
        <f>COUNTIF(Transfer!H:H,Elem_!B11)</f>
        <v>0</v>
      </c>
      <c r="AI11" s="37">
        <f t="shared" si="0"/>
        <v>-1</v>
      </c>
      <c r="AJ11" s="37">
        <v>0</v>
      </c>
      <c r="AK11" s="37"/>
      <c r="AL11" s="38">
        <f t="shared" si="1"/>
        <v>0</v>
      </c>
      <c r="AN11" s="43">
        <f t="shared" si="2"/>
        <v>-0.42</v>
      </c>
      <c r="AO11" s="44"/>
      <c r="AP11" s="44"/>
      <c r="AQ11" s="45">
        <v>0</v>
      </c>
      <c r="AR11" s="47">
        <f t="shared" si="3"/>
        <v>-0.4</v>
      </c>
      <c r="AS11" s="47"/>
      <c r="AT11" s="48"/>
      <c r="AU11" s="47"/>
      <c r="AV11" s="70">
        <f t="shared" si="4"/>
        <v>-1</v>
      </c>
      <c r="AW11" s="49">
        <f t="shared" si="5"/>
        <v>-0.6</v>
      </c>
      <c r="AX11" s="75">
        <f t="shared" si="6"/>
        <v>-0.2</v>
      </c>
      <c r="AY11" s="39"/>
      <c r="AZ11" s="39"/>
      <c r="BA11" s="76">
        <f t="shared" si="7"/>
        <v>-1</v>
      </c>
      <c r="BD11" s="99">
        <f t="shared" si="8"/>
        <v>-1</v>
      </c>
    </row>
    <row r="12" spans="1:56" s="38" customFormat="1" ht="28.2" customHeight="1" x14ac:dyDescent="0.3">
      <c r="A12" s="4" t="s">
        <v>202</v>
      </c>
      <c r="B12" s="11" t="s">
        <v>23</v>
      </c>
      <c r="C12" s="4">
        <v>6</v>
      </c>
      <c r="D12" s="12">
        <v>309</v>
      </c>
      <c r="E12" s="12">
        <v>294</v>
      </c>
      <c r="F12" s="12">
        <v>244</v>
      </c>
      <c r="G12" s="12">
        <v>309</v>
      </c>
      <c r="H12" s="12">
        <v>281</v>
      </c>
      <c r="I12" s="12">
        <v>345</v>
      </c>
      <c r="J12" s="12">
        <v>282</v>
      </c>
      <c r="K12" s="9">
        <v>0</v>
      </c>
      <c r="L12" s="13">
        <v>2064</v>
      </c>
      <c r="M12" s="4">
        <v>52</v>
      </c>
      <c r="N12" s="4">
        <v>33</v>
      </c>
      <c r="O12" s="4">
        <v>31</v>
      </c>
      <c r="P12" s="4">
        <v>31</v>
      </c>
      <c r="Q12" s="4">
        <v>40</v>
      </c>
      <c r="R12" s="4">
        <v>38</v>
      </c>
      <c r="S12" s="4">
        <v>40</v>
      </c>
      <c r="T12" s="7">
        <v>265</v>
      </c>
      <c r="U12" s="4">
        <v>6</v>
      </c>
      <c r="V12" s="4">
        <v>9</v>
      </c>
      <c r="W12" s="4">
        <v>8</v>
      </c>
      <c r="X12" s="4">
        <v>10</v>
      </c>
      <c r="Y12" s="4">
        <v>7</v>
      </c>
      <c r="Z12" s="4">
        <v>9</v>
      </c>
      <c r="AA12" s="4">
        <v>7</v>
      </c>
      <c r="AB12" s="4">
        <v>0</v>
      </c>
      <c r="AC12" s="14">
        <v>56</v>
      </c>
      <c r="AD12" s="15">
        <v>64.25</v>
      </c>
      <c r="AE12" s="9">
        <v>59</v>
      </c>
      <c r="AF12" s="10">
        <v>5</v>
      </c>
      <c r="AG12" s="10">
        <f>COUNTIF(Transfer!E:E,Elem_!B12)</f>
        <v>0</v>
      </c>
      <c r="AH12" s="10">
        <f>COUNTIF(Transfer!H:H,Elem_!B12)</f>
        <v>0</v>
      </c>
      <c r="AI12" s="37">
        <f t="shared" si="0"/>
        <v>5</v>
      </c>
      <c r="AJ12" s="37">
        <v>2</v>
      </c>
      <c r="AK12" s="37">
        <v>5</v>
      </c>
      <c r="AL12" s="38">
        <f t="shared" si="1"/>
        <v>2</v>
      </c>
      <c r="AN12" s="43">
        <f t="shared" si="2"/>
        <v>2.1</v>
      </c>
      <c r="AO12" s="44"/>
      <c r="AP12" s="44"/>
      <c r="AQ12" s="45">
        <v>2</v>
      </c>
      <c r="AR12" s="47">
        <f t="shared" si="3"/>
        <v>2</v>
      </c>
      <c r="AS12" s="47"/>
      <c r="AT12" s="48">
        <v>2</v>
      </c>
      <c r="AU12" s="47">
        <v>2</v>
      </c>
      <c r="AV12" s="50">
        <f t="shared" si="4"/>
        <v>3</v>
      </c>
      <c r="AW12" s="49">
        <f t="shared" si="5"/>
        <v>3</v>
      </c>
      <c r="AX12" s="38">
        <f t="shared" si="6"/>
        <v>0.60000000000000009</v>
      </c>
      <c r="AY12" s="39">
        <v>1</v>
      </c>
      <c r="AZ12" s="39">
        <v>1</v>
      </c>
      <c r="BA12" s="49">
        <f t="shared" si="7"/>
        <v>2</v>
      </c>
      <c r="BD12" s="49">
        <f t="shared" si="8"/>
        <v>2</v>
      </c>
    </row>
    <row r="13" spans="1:56" s="38" customFormat="1" ht="28.2" customHeight="1" x14ac:dyDescent="0.3">
      <c r="A13" s="4">
        <v>119978</v>
      </c>
      <c r="B13" s="11" t="s">
        <v>24</v>
      </c>
      <c r="C13" s="4">
        <v>4</v>
      </c>
      <c r="D13" s="12">
        <v>235</v>
      </c>
      <c r="E13" s="12">
        <v>224</v>
      </c>
      <c r="F13" s="12">
        <v>229</v>
      </c>
      <c r="G13" s="12">
        <v>237</v>
      </c>
      <c r="H13" s="12">
        <v>235</v>
      </c>
      <c r="I13" s="12">
        <v>289</v>
      </c>
      <c r="J13" s="12">
        <v>274</v>
      </c>
      <c r="K13" s="9">
        <v>0</v>
      </c>
      <c r="L13" s="13">
        <v>1723</v>
      </c>
      <c r="M13" s="4">
        <v>47</v>
      </c>
      <c r="N13" s="4">
        <v>32</v>
      </c>
      <c r="O13" s="4">
        <v>33</v>
      </c>
      <c r="P13" s="4">
        <v>30</v>
      </c>
      <c r="Q13" s="4">
        <v>39</v>
      </c>
      <c r="R13" s="4">
        <v>41</v>
      </c>
      <c r="S13" s="4">
        <v>39</v>
      </c>
      <c r="T13" s="7">
        <v>261</v>
      </c>
      <c r="U13" s="4">
        <v>5</v>
      </c>
      <c r="V13" s="4">
        <v>7</v>
      </c>
      <c r="W13" s="4">
        <v>7</v>
      </c>
      <c r="X13" s="4">
        <v>8</v>
      </c>
      <c r="Y13" s="4">
        <v>6</v>
      </c>
      <c r="Z13" s="4">
        <v>7</v>
      </c>
      <c r="AA13" s="4">
        <v>7</v>
      </c>
      <c r="AB13" s="4">
        <v>0</v>
      </c>
      <c r="AC13" s="14">
        <v>47</v>
      </c>
      <c r="AD13" s="15">
        <v>54</v>
      </c>
      <c r="AE13" s="9">
        <v>50</v>
      </c>
      <c r="AF13" s="10">
        <v>4</v>
      </c>
      <c r="AG13" s="10">
        <f>COUNTIF(Transfer!E:E,Elem_!B13)</f>
        <v>1</v>
      </c>
      <c r="AH13" s="10">
        <f>COUNTIF(Transfer!H:H,Elem_!B13)</f>
        <v>0</v>
      </c>
      <c r="AI13" s="37">
        <f t="shared" si="0"/>
        <v>5</v>
      </c>
      <c r="AJ13" s="37">
        <v>2</v>
      </c>
      <c r="AK13" s="37">
        <v>5</v>
      </c>
      <c r="AL13" s="38">
        <f t="shared" si="1"/>
        <v>2</v>
      </c>
      <c r="AN13" s="43">
        <f t="shared" si="2"/>
        <v>2.1</v>
      </c>
      <c r="AO13" s="44"/>
      <c r="AP13" s="44"/>
      <c r="AQ13" s="45">
        <v>2</v>
      </c>
      <c r="AR13" s="47">
        <f t="shared" si="3"/>
        <v>2</v>
      </c>
      <c r="AS13" s="47"/>
      <c r="AT13" s="48">
        <v>2</v>
      </c>
      <c r="AU13" s="47">
        <v>2</v>
      </c>
      <c r="AV13" s="50">
        <f t="shared" si="4"/>
        <v>3</v>
      </c>
      <c r="AW13" s="49">
        <f t="shared" si="5"/>
        <v>3</v>
      </c>
      <c r="AX13" s="38">
        <f t="shared" si="6"/>
        <v>0.60000000000000009</v>
      </c>
      <c r="AY13" s="39">
        <v>1</v>
      </c>
      <c r="AZ13" s="39">
        <v>2</v>
      </c>
      <c r="BA13" s="49">
        <f t="shared" si="7"/>
        <v>1</v>
      </c>
      <c r="BD13" s="49">
        <f t="shared" si="8"/>
        <v>1</v>
      </c>
    </row>
    <row r="14" spans="1:56" s="38" customFormat="1" ht="28.2" customHeight="1" x14ac:dyDescent="0.3">
      <c r="A14" s="4">
        <v>119985</v>
      </c>
      <c r="B14" s="11" t="s">
        <v>25</v>
      </c>
      <c r="C14" s="4">
        <v>8</v>
      </c>
      <c r="D14" s="12">
        <v>261</v>
      </c>
      <c r="E14" s="12">
        <v>249</v>
      </c>
      <c r="F14" s="12">
        <v>265</v>
      </c>
      <c r="G14" s="12">
        <v>294</v>
      </c>
      <c r="H14" s="12">
        <v>337</v>
      </c>
      <c r="I14" s="12">
        <v>309</v>
      </c>
      <c r="J14" s="12">
        <v>305</v>
      </c>
      <c r="K14" s="9">
        <v>0</v>
      </c>
      <c r="L14" s="13">
        <v>2020</v>
      </c>
      <c r="M14" s="4">
        <v>52</v>
      </c>
      <c r="N14" s="4">
        <v>31</v>
      </c>
      <c r="O14" s="4">
        <v>29</v>
      </c>
      <c r="P14" s="4">
        <v>33</v>
      </c>
      <c r="Q14" s="4">
        <v>42</v>
      </c>
      <c r="R14" s="4">
        <v>39</v>
      </c>
      <c r="S14" s="4">
        <v>38</v>
      </c>
      <c r="T14" s="7">
        <v>264</v>
      </c>
      <c r="U14" s="4">
        <v>5</v>
      </c>
      <c r="V14" s="4">
        <v>8</v>
      </c>
      <c r="W14" s="4">
        <v>9</v>
      </c>
      <c r="X14" s="4">
        <v>9</v>
      </c>
      <c r="Y14" s="4">
        <v>8</v>
      </c>
      <c r="Z14" s="4">
        <v>8</v>
      </c>
      <c r="AA14" s="4">
        <v>8</v>
      </c>
      <c r="AB14" s="4">
        <v>0</v>
      </c>
      <c r="AC14" s="14">
        <v>55</v>
      </c>
      <c r="AD14" s="15">
        <v>63.25</v>
      </c>
      <c r="AE14" s="9">
        <v>69</v>
      </c>
      <c r="AF14" s="10">
        <v>-6</v>
      </c>
      <c r="AG14" s="10">
        <f>COUNTIF(Transfer!E:E,Elem_!B14)</f>
        <v>0</v>
      </c>
      <c r="AH14" s="10">
        <f>COUNTIF(Transfer!H:H,Elem_!B14)</f>
        <v>0</v>
      </c>
      <c r="AI14" s="37">
        <f t="shared" si="0"/>
        <v>-6</v>
      </c>
      <c r="AJ14" s="37">
        <v>0</v>
      </c>
      <c r="AK14" s="37"/>
      <c r="AL14" s="38">
        <f t="shared" si="1"/>
        <v>0</v>
      </c>
      <c r="AN14" s="43">
        <f t="shared" si="2"/>
        <v>-2.52</v>
      </c>
      <c r="AO14" s="44"/>
      <c r="AP14" s="44"/>
      <c r="AQ14" s="45">
        <v>-3</v>
      </c>
      <c r="AR14" s="47">
        <f t="shared" si="3"/>
        <v>-2.4000000000000004</v>
      </c>
      <c r="AS14" s="47"/>
      <c r="AT14" s="48"/>
      <c r="AU14" s="47"/>
      <c r="AV14" s="70">
        <f t="shared" si="4"/>
        <v>-6</v>
      </c>
      <c r="AW14" s="49">
        <f t="shared" si="5"/>
        <v>-3.5999999999999996</v>
      </c>
      <c r="AX14" s="75">
        <f t="shared" si="6"/>
        <v>-1.2000000000000002</v>
      </c>
      <c r="AY14" s="39"/>
      <c r="AZ14" s="39"/>
      <c r="BA14" s="76">
        <f t="shared" si="7"/>
        <v>-6</v>
      </c>
      <c r="BD14" s="99">
        <f t="shared" si="8"/>
        <v>-6</v>
      </c>
    </row>
    <row r="15" spans="1:56" s="38" customFormat="1" ht="28.2" customHeight="1" x14ac:dyDescent="0.3">
      <c r="A15" s="4">
        <v>119984</v>
      </c>
      <c r="B15" s="11" t="s">
        <v>26</v>
      </c>
      <c r="C15" s="4">
        <v>6</v>
      </c>
      <c r="D15" s="12">
        <v>237</v>
      </c>
      <c r="E15" s="12">
        <v>226</v>
      </c>
      <c r="F15" s="12">
        <v>192</v>
      </c>
      <c r="G15" s="12">
        <v>215</v>
      </c>
      <c r="H15" s="12">
        <v>270</v>
      </c>
      <c r="I15" s="12">
        <v>255</v>
      </c>
      <c r="J15" s="12">
        <v>223</v>
      </c>
      <c r="K15" s="9">
        <v>0</v>
      </c>
      <c r="L15" s="13">
        <v>1618</v>
      </c>
      <c r="M15" s="4">
        <v>47</v>
      </c>
      <c r="N15" s="4">
        <v>32</v>
      </c>
      <c r="O15" s="4">
        <v>32</v>
      </c>
      <c r="P15" s="4">
        <v>31</v>
      </c>
      <c r="Q15" s="4">
        <v>39</v>
      </c>
      <c r="R15" s="4">
        <v>43</v>
      </c>
      <c r="S15" s="4">
        <v>37</v>
      </c>
      <c r="T15" s="7">
        <v>261</v>
      </c>
      <c r="U15" s="4">
        <v>5</v>
      </c>
      <c r="V15" s="4">
        <v>7</v>
      </c>
      <c r="W15" s="4">
        <v>6</v>
      </c>
      <c r="X15" s="4">
        <v>7</v>
      </c>
      <c r="Y15" s="4">
        <v>7</v>
      </c>
      <c r="Z15" s="4">
        <v>6</v>
      </c>
      <c r="AA15" s="4">
        <v>6</v>
      </c>
      <c r="AB15" s="4">
        <v>0</v>
      </c>
      <c r="AC15" s="14">
        <v>44</v>
      </c>
      <c r="AD15" s="15">
        <v>50.5</v>
      </c>
      <c r="AE15" s="9">
        <v>49</v>
      </c>
      <c r="AF15" s="10">
        <v>2</v>
      </c>
      <c r="AG15" s="10">
        <f>COUNTIF(Transfer!E:E,Elem_!B15)</f>
        <v>0</v>
      </c>
      <c r="AH15" s="10">
        <f>COUNTIF(Transfer!H:H,Elem_!B15)</f>
        <v>0</v>
      </c>
      <c r="AI15" s="37">
        <f t="shared" si="0"/>
        <v>2</v>
      </c>
      <c r="AJ15" s="37">
        <v>1</v>
      </c>
      <c r="AK15" s="37">
        <v>2</v>
      </c>
      <c r="AL15" s="38">
        <f t="shared" si="1"/>
        <v>1</v>
      </c>
      <c r="AN15" s="43">
        <f t="shared" si="2"/>
        <v>0.84</v>
      </c>
      <c r="AO15" s="44"/>
      <c r="AP15" s="66" t="s">
        <v>191</v>
      </c>
      <c r="AQ15" s="45">
        <v>0</v>
      </c>
      <c r="AR15" s="47">
        <f t="shared" si="3"/>
        <v>0.8</v>
      </c>
      <c r="AS15" s="47"/>
      <c r="AT15" s="48">
        <v>1</v>
      </c>
      <c r="AU15" s="47"/>
      <c r="AV15" s="50">
        <f t="shared" si="4"/>
        <v>2</v>
      </c>
      <c r="AW15" s="49">
        <f t="shared" si="5"/>
        <v>1.2</v>
      </c>
      <c r="AX15" s="38">
        <f t="shared" si="6"/>
        <v>0.4</v>
      </c>
      <c r="AY15" s="39"/>
      <c r="AZ15" s="39"/>
      <c r="BA15" s="49">
        <f t="shared" si="7"/>
        <v>2</v>
      </c>
      <c r="BD15" s="49">
        <f t="shared" si="8"/>
        <v>2</v>
      </c>
    </row>
    <row r="16" spans="1:56" s="38" customFormat="1" ht="28.2" customHeight="1" x14ac:dyDescent="0.3">
      <c r="A16" s="4">
        <v>119968</v>
      </c>
      <c r="B16" s="11" t="s">
        <v>27</v>
      </c>
      <c r="C16" s="4">
        <v>3</v>
      </c>
      <c r="D16" s="12">
        <v>278</v>
      </c>
      <c r="E16" s="12">
        <v>265</v>
      </c>
      <c r="F16" s="12">
        <v>237</v>
      </c>
      <c r="G16" s="12">
        <v>247</v>
      </c>
      <c r="H16" s="12">
        <v>285</v>
      </c>
      <c r="I16" s="12">
        <v>281</v>
      </c>
      <c r="J16" s="12">
        <v>254</v>
      </c>
      <c r="K16" s="9">
        <v>0</v>
      </c>
      <c r="L16" s="13">
        <v>1847</v>
      </c>
      <c r="M16" s="4">
        <v>46</v>
      </c>
      <c r="N16" s="4">
        <v>29</v>
      </c>
      <c r="O16" s="4">
        <v>30</v>
      </c>
      <c r="P16" s="4">
        <v>31</v>
      </c>
      <c r="Q16" s="4">
        <v>41</v>
      </c>
      <c r="R16" s="4">
        <v>40</v>
      </c>
      <c r="S16" s="4">
        <v>42</v>
      </c>
      <c r="T16" s="7">
        <v>259</v>
      </c>
      <c r="U16" s="4">
        <v>6</v>
      </c>
      <c r="V16" s="4">
        <v>9</v>
      </c>
      <c r="W16" s="4">
        <v>8</v>
      </c>
      <c r="X16" s="4">
        <v>8</v>
      </c>
      <c r="Y16" s="4">
        <v>7</v>
      </c>
      <c r="Z16" s="4">
        <v>7</v>
      </c>
      <c r="AA16" s="4">
        <v>6</v>
      </c>
      <c r="AB16" s="4">
        <v>0</v>
      </c>
      <c r="AC16" s="14">
        <v>51</v>
      </c>
      <c r="AD16" s="15">
        <v>58</v>
      </c>
      <c r="AE16" s="9">
        <v>49</v>
      </c>
      <c r="AF16" s="10">
        <v>9</v>
      </c>
      <c r="AG16" s="10">
        <f>COUNTIF(Transfer!E:E,Elem_!B16)</f>
        <v>0</v>
      </c>
      <c r="AH16" s="10">
        <f>COUNTIF(Transfer!H:H,Elem_!B16)</f>
        <v>0</v>
      </c>
      <c r="AI16" s="37">
        <f t="shared" si="0"/>
        <v>9</v>
      </c>
      <c r="AJ16" s="37">
        <v>4</v>
      </c>
      <c r="AK16" s="37">
        <v>9</v>
      </c>
      <c r="AL16" s="38">
        <f t="shared" si="1"/>
        <v>4</v>
      </c>
      <c r="AN16" s="43">
        <f t="shared" si="2"/>
        <v>3.78</v>
      </c>
      <c r="AO16" s="44"/>
      <c r="AP16" s="44"/>
      <c r="AQ16" s="45">
        <v>4</v>
      </c>
      <c r="AR16" s="47">
        <f t="shared" si="3"/>
        <v>3.6</v>
      </c>
      <c r="AS16" s="47"/>
      <c r="AT16" s="48">
        <v>4</v>
      </c>
      <c r="AU16" s="47">
        <v>4</v>
      </c>
      <c r="AV16" s="50">
        <f t="shared" si="4"/>
        <v>5</v>
      </c>
      <c r="AW16" s="49">
        <f t="shared" si="5"/>
        <v>5.4</v>
      </c>
      <c r="AX16" s="38">
        <f t="shared" si="6"/>
        <v>1</v>
      </c>
      <c r="AY16" s="39">
        <v>1</v>
      </c>
      <c r="AZ16" s="39">
        <v>1</v>
      </c>
      <c r="BA16" s="49">
        <f t="shared" si="7"/>
        <v>4</v>
      </c>
      <c r="BB16" s="38">
        <v>1</v>
      </c>
      <c r="BC16" s="38">
        <v>1</v>
      </c>
      <c r="BD16" s="49">
        <f t="shared" si="8"/>
        <v>3</v>
      </c>
    </row>
    <row r="17" spans="1:56" s="38" customFormat="1" ht="28.2" customHeight="1" x14ac:dyDescent="0.3">
      <c r="A17" s="4">
        <v>119972</v>
      </c>
      <c r="B17" s="11" t="s">
        <v>28</v>
      </c>
      <c r="C17" s="4">
        <v>4</v>
      </c>
      <c r="D17" s="12">
        <v>168</v>
      </c>
      <c r="E17" s="12">
        <v>160</v>
      </c>
      <c r="F17" s="12">
        <v>167</v>
      </c>
      <c r="G17" s="12">
        <v>195</v>
      </c>
      <c r="H17" s="12">
        <v>200</v>
      </c>
      <c r="I17" s="12">
        <v>196</v>
      </c>
      <c r="J17" s="12">
        <v>184</v>
      </c>
      <c r="K17" s="9">
        <v>0</v>
      </c>
      <c r="L17" s="13">
        <v>1270</v>
      </c>
      <c r="M17" s="4">
        <v>42</v>
      </c>
      <c r="N17" s="4">
        <v>32</v>
      </c>
      <c r="O17" s="4">
        <v>28</v>
      </c>
      <c r="P17" s="4">
        <v>33</v>
      </c>
      <c r="Q17" s="4">
        <v>40</v>
      </c>
      <c r="R17" s="4">
        <v>39</v>
      </c>
      <c r="S17" s="4">
        <v>37</v>
      </c>
      <c r="T17" s="7">
        <v>251</v>
      </c>
      <c r="U17" s="4">
        <v>4</v>
      </c>
      <c r="V17" s="4">
        <v>5</v>
      </c>
      <c r="W17" s="4">
        <v>6</v>
      </c>
      <c r="X17" s="4">
        <v>6</v>
      </c>
      <c r="Y17" s="4">
        <v>5</v>
      </c>
      <c r="Z17" s="4">
        <v>5</v>
      </c>
      <c r="AA17" s="4">
        <v>5</v>
      </c>
      <c r="AB17" s="4">
        <v>0</v>
      </c>
      <c r="AC17" s="14">
        <v>36</v>
      </c>
      <c r="AD17" s="15">
        <v>41.25</v>
      </c>
      <c r="AE17" s="9">
        <v>40</v>
      </c>
      <c r="AF17" s="10">
        <v>1</v>
      </c>
      <c r="AG17" s="10">
        <f>COUNTIF(Transfer!E:E,Elem_!B17)</f>
        <v>0</v>
      </c>
      <c r="AH17" s="10">
        <f>COUNTIF(Transfer!H:H,Elem_!B17)</f>
        <v>0</v>
      </c>
      <c r="AI17" s="37">
        <f t="shared" si="0"/>
        <v>1</v>
      </c>
      <c r="AJ17" s="37">
        <v>0</v>
      </c>
      <c r="AK17" s="37"/>
      <c r="AL17" s="38">
        <f t="shared" si="1"/>
        <v>0</v>
      </c>
      <c r="AN17" s="43">
        <f t="shared" si="2"/>
        <v>0.42</v>
      </c>
      <c r="AO17" s="44"/>
      <c r="AP17" s="44"/>
      <c r="AQ17" s="45">
        <v>0</v>
      </c>
      <c r="AR17" s="47">
        <f t="shared" si="3"/>
        <v>0.4</v>
      </c>
      <c r="AS17" s="47"/>
      <c r="AT17" s="48"/>
      <c r="AU17" s="47"/>
      <c r="AV17" s="50">
        <f t="shared" si="4"/>
        <v>1</v>
      </c>
      <c r="AW17" s="49">
        <f t="shared" si="5"/>
        <v>0.6</v>
      </c>
      <c r="AX17" s="38">
        <f t="shared" si="6"/>
        <v>0.2</v>
      </c>
      <c r="AY17" s="39"/>
      <c r="AZ17" s="39"/>
      <c r="BA17" s="49">
        <f t="shared" si="7"/>
        <v>1</v>
      </c>
      <c r="BB17" s="38">
        <v>1</v>
      </c>
      <c r="BC17" s="38">
        <v>1</v>
      </c>
      <c r="BD17" s="99">
        <f t="shared" si="8"/>
        <v>0</v>
      </c>
    </row>
    <row r="18" spans="1:56" s="38" customFormat="1" ht="28.2" customHeight="1" x14ac:dyDescent="0.3">
      <c r="A18" s="4">
        <v>119960</v>
      </c>
      <c r="B18" s="11" t="s">
        <v>29</v>
      </c>
      <c r="C18" s="4">
        <v>10</v>
      </c>
      <c r="D18" s="12">
        <v>149</v>
      </c>
      <c r="E18" s="12">
        <v>142</v>
      </c>
      <c r="F18" s="12">
        <v>126</v>
      </c>
      <c r="G18" s="12">
        <v>126</v>
      </c>
      <c r="H18" s="12">
        <v>105</v>
      </c>
      <c r="I18" s="12">
        <v>117</v>
      </c>
      <c r="J18" s="12">
        <v>136</v>
      </c>
      <c r="K18" s="9">
        <v>0</v>
      </c>
      <c r="L18" s="13">
        <v>901</v>
      </c>
      <c r="M18" s="4">
        <v>50</v>
      </c>
      <c r="N18" s="4">
        <v>28</v>
      </c>
      <c r="O18" s="4">
        <v>32</v>
      </c>
      <c r="P18" s="4">
        <v>32</v>
      </c>
      <c r="Q18" s="4">
        <v>35</v>
      </c>
      <c r="R18" s="4">
        <v>39</v>
      </c>
      <c r="S18" s="4">
        <v>34</v>
      </c>
      <c r="T18" s="7">
        <v>250</v>
      </c>
      <c r="U18" s="4">
        <v>3</v>
      </c>
      <c r="V18" s="4">
        <v>5</v>
      </c>
      <c r="W18" s="4">
        <v>4</v>
      </c>
      <c r="X18" s="4">
        <v>4</v>
      </c>
      <c r="Y18" s="4">
        <v>3</v>
      </c>
      <c r="Z18" s="4">
        <v>3</v>
      </c>
      <c r="AA18" s="4">
        <v>4</v>
      </c>
      <c r="AB18" s="4">
        <v>0</v>
      </c>
      <c r="AC18" s="14">
        <v>26</v>
      </c>
      <c r="AD18" s="15">
        <v>29.5</v>
      </c>
      <c r="AE18" s="9">
        <v>28</v>
      </c>
      <c r="AF18" s="10">
        <v>2</v>
      </c>
      <c r="AG18" s="10">
        <f>COUNTIF(Transfer!E:E,Elem_!B18)</f>
        <v>0</v>
      </c>
      <c r="AH18" s="10">
        <f>COUNTIF(Transfer!H:H,Elem_!B18)</f>
        <v>0</v>
      </c>
      <c r="AI18" s="37">
        <f t="shared" si="0"/>
        <v>2</v>
      </c>
      <c r="AJ18" s="37">
        <v>1</v>
      </c>
      <c r="AK18" s="37">
        <v>2</v>
      </c>
      <c r="AL18" s="38">
        <f t="shared" si="1"/>
        <v>1</v>
      </c>
      <c r="AN18" s="43">
        <f t="shared" si="2"/>
        <v>0.84</v>
      </c>
      <c r="AO18" s="44"/>
      <c r="AP18" s="44"/>
      <c r="AQ18" s="45">
        <v>1</v>
      </c>
      <c r="AR18" s="47">
        <f t="shared" si="3"/>
        <v>0.8</v>
      </c>
      <c r="AS18" s="47"/>
      <c r="AT18" s="48"/>
      <c r="AU18" s="47">
        <v>1</v>
      </c>
      <c r="AV18" s="50">
        <f t="shared" si="4"/>
        <v>1</v>
      </c>
      <c r="AW18" s="49">
        <f t="shared" si="5"/>
        <v>1.2</v>
      </c>
      <c r="AX18" s="38">
        <f t="shared" si="6"/>
        <v>0.2</v>
      </c>
      <c r="AY18" s="39"/>
      <c r="AZ18" s="39"/>
      <c r="BA18" s="49">
        <f t="shared" si="7"/>
        <v>1</v>
      </c>
      <c r="BD18" s="49">
        <f t="shared" si="8"/>
        <v>1</v>
      </c>
    </row>
    <row r="19" spans="1:56" s="38" customFormat="1" ht="28.2" customHeight="1" x14ac:dyDescent="0.3">
      <c r="A19" s="4">
        <v>119970</v>
      </c>
      <c r="B19" s="11" t="s">
        <v>30</v>
      </c>
      <c r="C19" s="4">
        <v>3</v>
      </c>
      <c r="D19" s="12">
        <v>342</v>
      </c>
      <c r="E19" s="12">
        <v>326</v>
      </c>
      <c r="F19" s="12">
        <v>285</v>
      </c>
      <c r="G19" s="12">
        <v>342</v>
      </c>
      <c r="H19" s="12">
        <v>343</v>
      </c>
      <c r="I19" s="12">
        <v>423</v>
      </c>
      <c r="J19" s="12">
        <v>369</v>
      </c>
      <c r="K19" s="9">
        <v>0</v>
      </c>
      <c r="L19" s="13">
        <v>2430</v>
      </c>
      <c r="M19" s="4">
        <v>49</v>
      </c>
      <c r="N19" s="4">
        <v>33</v>
      </c>
      <c r="O19" s="4">
        <v>32</v>
      </c>
      <c r="P19" s="4">
        <v>31</v>
      </c>
      <c r="Q19" s="4">
        <v>43</v>
      </c>
      <c r="R19" s="4">
        <v>42</v>
      </c>
      <c r="S19" s="4">
        <v>41</v>
      </c>
      <c r="T19" s="7">
        <v>271</v>
      </c>
      <c r="U19" s="4">
        <v>7</v>
      </c>
      <c r="V19" s="4">
        <v>10</v>
      </c>
      <c r="W19" s="4">
        <v>9</v>
      </c>
      <c r="X19" s="4">
        <v>11</v>
      </c>
      <c r="Y19" s="4">
        <v>8</v>
      </c>
      <c r="Z19" s="4">
        <v>10</v>
      </c>
      <c r="AA19" s="4">
        <v>9</v>
      </c>
      <c r="AB19" s="4">
        <v>0</v>
      </c>
      <c r="AC19" s="14">
        <v>64</v>
      </c>
      <c r="AD19" s="15">
        <v>73.5</v>
      </c>
      <c r="AE19" s="9">
        <v>73</v>
      </c>
      <c r="AF19" s="10">
        <v>1</v>
      </c>
      <c r="AG19" s="10">
        <f>COUNTIF(Transfer!E:E,Elem_!B19)</f>
        <v>0</v>
      </c>
      <c r="AH19" s="10">
        <f>COUNTIF(Transfer!H:H,Elem_!B19)</f>
        <v>1</v>
      </c>
      <c r="AI19" s="37">
        <f t="shared" si="0"/>
        <v>0</v>
      </c>
      <c r="AJ19" s="37">
        <v>0</v>
      </c>
      <c r="AK19" s="37"/>
      <c r="AL19" s="38">
        <f t="shared" si="1"/>
        <v>0</v>
      </c>
      <c r="AN19" s="43">
        <f t="shared" si="2"/>
        <v>0</v>
      </c>
      <c r="AO19" s="44"/>
      <c r="AP19" s="44"/>
      <c r="AQ19" s="45">
        <v>0</v>
      </c>
      <c r="AR19" s="47">
        <f t="shared" si="3"/>
        <v>0</v>
      </c>
      <c r="AS19" s="47"/>
      <c r="AT19" s="48"/>
      <c r="AU19" s="47"/>
      <c r="AV19" s="70">
        <f t="shared" si="4"/>
        <v>0</v>
      </c>
      <c r="AW19" s="76">
        <f t="shared" si="5"/>
        <v>0</v>
      </c>
      <c r="AX19" s="75">
        <f t="shared" si="6"/>
        <v>0</v>
      </c>
      <c r="AY19" s="39"/>
      <c r="AZ19" s="39"/>
      <c r="BA19" s="76">
        <f t="shared" si="7"/>
        <v>0</v>
      </c>
      <c r="BD19" s="99">
        <f t="shared" si="8"/>
        <v>0</v>
      </c>
    </row>
    <row r="20" spans="1:56" s="38" customFormat="1" ht="28.2" customHeight="1" x14ac:dyDescent="0.3">
      <c r="A20" s="4">
        <v>119963</v>
      </c>
      <c r="B20" s="11" t="s">
        <v>31</v>
      </c>
      <c r="C20" s="4">
        <v>2</v>
      </c>
      <c r="D20" s="12">
        <v>507</v>
      </c>
      <c r="E20" s="12">
        <v>483</v>
      </c>
      <c r="F20" s="12">
        <v>450</v>
      </c>
      <c r="G20" s="12">
        <v>498</v>
      </c>
      <c r="H20" s="12">
        <v>526</v>
      </c>
      <c r="I20" s="12">
        <v>607</v>
      </c>
      <c r="J20" s="12">
        <v>566</v>
      </c>
      <c r="K20" s="9">
        <v>0</v>
      </c>
      <c r="L20" s="13">
        <v>3637</v>
      </c>
      <c r="M20" s="4">
        <v>51</v>
      </c>
      <c r="N20" s="4">
        <v>32</v>
      </c>
      <c r="O20" s="4">
        <v>32</v>
      </c>
      <c r="P20" s="4">
        <v>31</v>
      </c>
      <c r="Q20" s="4">
        <v>40</v>
      </c>
      <c r="R20" s="4">
        <v>40</v>
      </c>
      <c r="S20" s="4">
        <v>40</v>
      </c>
      <c r="T20" s="7">
        <v>266</v>
      </c>
      <c r="U20" s="4">
        <v>10</v>
      </c>
      <c r="V20" s="4">
        <v>15</v>
      </c>
      <c r="W20" s="4">
        <v>14</v>
      </c>
      <c r="X20" s="4">
        <v>16</v>
      </c>
      <c r="Y20" s="4">
        <v>13</v>
      </c>
      <c r="Z20" s="4">
        <v>15</v>
      </c>
      <c r="AA20" s="4">
        <v>14</v>
      </c>
      <c r="AB20" s="4">
        <v>0</v>
      </c>
      <c r="AC20" s="14">
        <v>97</v>
      </c>
      <c r="AD20" s="15">
        <v>111.5</v>
      </c>
      <c r="AE20" s="9">
        <v>105</v>
      </c>
      <c r="AF20" s="10">
        <v>7</v>
      </c>
      <c r="AG20" s="10">
        <f>COUNTIF(Transfer!E:E,Elem_!B20)</f>
        <v>1</v>
      </c>
      <c r="AH20" s="10">
        <f>COUNTIF(Transfer!H:H,Elem_!B20)</f>
        <v>1</v>
      </c>
      <c r="AI20" s="37">
        <f t="shared" si="0"/>
        <v>7</v>
      </c>
      <c r="AJ20" s="37">
        <v>2</v>
      </c>
      <c r="AK20" s="37">
        <v>7</v>
      </c>
      <c r="AL20" s="38">
        <f t="shared" si="1"/>
        <v>3</v>
      </c>
      <c r="AN20" s="43">
        <f t="shared" si="2"/>
        <v>2.94</v>
      </c>
      <c r="AO20" s="44"/>
      <c r="AP20" s="66" t="s">
        <v>191</v>
      </c>
      <c r="AQ20" s="45">
        <v>2</v>
      </c>
      <c r="AR20" s="47">
        <f t="shared" si="3"/>
        <v>2.8000000000000003</v>
      </c>
      <c r="AS20" s="47"/>
      <c r="AT20" s="48">
        <v>2</v>
      </c>
      <c r="AU20" s="47">
        <v>1</v>
      </c>
      <c r="AV20" s="50">
        <f t="shared" si="4"/>
        <v>6</v>
      </c>
      <c r="AW20" s="49">
        <f t="shared" si="5"/>
        <v>4.1999999999999993</v>
      </c>
      <c r="AX20" s="38">
        <f t="shared" si="6"/>
        <v>1.2000000000000002</v>
      </c>
      <c r="AY20" s="39">
        <v>1</v>
      </c>
      <c r="AZ20" s="39">
        <v>1</v>
      </c>
      <c r="BA20" s="49">
        <f t="shared" si="7"/>
        <v>5</v>
      </c>
      <c r="BB20" s="38">
        <v>1</v>
      </c>
      <c r="BC20" s="38">
        <v>1</v>
      </c>
      <c r="BD20" s="49">
        <f t="shared" si="8"/>
        <v>4</v>
      </c>
    </row>
    <row r="21" spans="1:56" s="38" customFormat="1" ht="28.2" customHeight="1" x14ac:dyDescent="0.3">
      <c r="A21" s="4">
        <v>119983</v>
      </c>
      <c r="B21" s="11" t="s">
        <v>32</v>
      </c>
      <c r="C21" s="4">
        <v>6</v>
      </c>
      <c r="D21" s="12">
        <v>248</v>
      </c>
      <c r="E21" s="12">
        <v>236</v>
      </c>
      <c r="F21" s="12">
        <v>214</v>
      </c>
      <c r="G21" s="12">
        <v>237</v>
      </c>
      <c r="H21" s="12">
        <v>232</v>
      </c>
      <c r="I21" s="12">
        <v>281</v>
      </c>
      <c r="J21" s="12">
        <v>223</v>
      </c>
      <c r="K21" s="9">
        <v>0</v>
      </c>
      <c r="L21" s="13">
        <v>1671</v>
      </c>
      <c r="M21" s="4">
        <v>50</v>
      </c>
      <c r="N21" s="4">
        <v>30</v>
      </c>
      <c r="O21" s="4">
        <v>31</v>
      </c>
      <c r="P21" s="4">
        <v>30</v>
      </c>
      <c r="Q21" s="4">
        <v>39</v>
      </c>
      <c r="R21" s="4">
        <v>40</v>
      </c>
      <c r="S21" s="4">
        <v>37</v>
      </c>
      <c r="T21" s="7">
        <v>257</v>
      </c>
      <c r="U21" s="4">
        <v>5</v>
      </c>
      <c r="V21" s="4">
        <v>8</v>
      </c>
      <c r="W21" s="4">
        <v>7</v>
      </c>
      <c r="X21" s="4">
        <v>8</v>
      </c>
      <c r="Y21" s="4">
        <v>6</v>
      </c>
      <c r="Z21" s="4">
        <v>7</v>
      </c>
      <c r="AA21" s="4">
        <v>6</v>
      </c>
      <c r="AB21" s="4">
        <v>0</v>
      </c>
      <c r="AC21" s="14">
        <v>47</v>
      </c>
      <c r="AD21" s="15">
        <v>53.75</v>
      </c>
      <c r="AE21" s="9">
        <v>50</v>
      </c>
      <c r="AF21" s="10">
        <v>4</v>
      </c>
      <c r="AG21" s="10">
        <f>COUNTIF(Transfer!E:E,Elem_!B21)</f>
        <v>0</v>
      </c>
      <c r="AH21" s="10">
        <f>COUNTIF(Transfer!H:H,Elem_!B21)</f>
        <v>0</v>
      </c>
      <c r="AI21" s="37">
        <f t="shared" si="0"/>
        <v>4</v>
      </c>
      <c r="AJ21" s="37">
        <v>1</v>
      </c>
      <c r="AK21" s="37">
        <v>4</v>
      </c>
      <c r="AL21" s="38">
        <f t="shared" si="1"/>
        <v>2</v>
      </c>
      <c r="AN21" s="43">
        <f t="shared" si="2"/>
        <v>1.68</v>
      </c>
      <c r="AO21" s="44"/>
      <c r="AP21" s="44"/>
      <c r="AQ21" s="45">
        <v>2</v>
      </c>
      <c r="AR21" s="47">
        <f t="shared" si="3"/>
        <v>1.6</v>
      </c>
      <c r="AS21" s="47"/>
      <c r="AT21" s="48">
        <v>1</v>
      </c>
      <c r="AU21" s="69">
        <v>1</v>
      </c>
      <c r="AV21" s="50">
        <f t="shared" si="4"/>
        <v>3</v>
      </c>
      <c r="AW21" s="49">
        <f t="shared" si="5"/>
        <v>2.4</v>
      </c>
      <c r="AX21" s="38">
        <f t="shared" si="6"/>
        <v>0.60000000000000009</v>
      </c>
      <c r="AY21" s="39">
        <v>1</v>
      </c>
      <c r="AZ21" s="39">
        <v>1</v>
      </c>
      <c r="BA21" s="49">
        <f t="shared" si="7"/>
        <v>2</v>
      </c>
      <c r="BD21" s="49">
        <f t="shared" si="8"/>
        <v>2</v>
      </c>
    </row>
    <row r="22" spans="1:56" s="38" customFormat="1" ht="28.2" customHeight="1" x14ac:dyDescent="0.3">
      <c r="A22" s="4">
        <v>119973</v>
      </c>
      <c r="B22" s="11" t="s">
        <v>33</v>
      </c>
      <c r="C22" s="4">
        <v>4</v>
      </c>
      <c r="D22" s="12">
        <v>235</v>
      </c>
      <c r="E22" s="12">
        <v>224</v>
      </c>
      <c r="F22" s="12">
        <v>191</v>
      </c>
      <c r="G22" s="12">
        <v>199</v>
      </c>
      <c r="H22" s="12">
        <v>205</v>
      </c>
      <c r="I22" s="12">
        <v>236</v>
      </c>
      <c r="J22" s="12">
        <v>202</v>
      </c>
      <c r="K22" s="9">
        <v>0</v>
      </c>
      <c r="L22" s="13">
        <v>1492</v>
      </c>
      <c r="M22" s="4">
        <v>47</v>
      </c>
      <c r="N22" s="4">
        <v>32</v>
      </c>
      <c r="O22" s="4">
        <v>32</v>
      </c>
      <c r="P22" s="4">
        <v>28</v>
      </c>
      <c r="Q22" s="4">
        <v>41</v>
      </c>
      <c r="R22" s="4">
        <v>39</v>
      </c>
      <c r="S22" s="4">
        <v>40</v>
      </c>
      <c r="T22" s="7">
        <v>259</v>
      </c>
      <c r="U22" s="4">
        <v>5</v>
      </c>
      <c r="V22" s="4">
        <v>7</v>
      </c>
      <c r="W22" s="4">
        <v>6</v>
      </c>
      <c r="X22" s="4">
        <v>7</v>
      </c>
      <c r="Y22" s="4">
        <v>5</v>
      </c>
      <c r="Z22" s="4">
        <v>6</v>
      </c>
      <c r="AA22" s="4">
        <v>5</v>
      </c>
      <c r="AB22" s="4">
        <v>0</v>
      </c>
      <c r="AC22" s="14">
        <v>41</v>
      </c>
      <c r="AD22" s="15">
        <v>46.75</v>
      </c>
      <c r="AE22" s="9">
        <v>42</v>
      </c>
      <c r="AF22" s="10">
        <v>5</v>
      </c>
      <c r="AG22" s="10">
        <f>COUNTIF(Transfer!E:E,Elem_!B22)</f>
        <v>0</v>
      </c>
      <c r="AH22" s="10">
        <f>COUNTIF(Transfer!H:H,Elem_!B22)</f>
        <v>0</v>
      </c>
      <c r="AI22" s="37">
        <f t="shared" si="0"/>
        <v>5</v>
      </c>
      <c r="AJ22" s="37">
        <v>2</v>
      </c>
      <c r="AK22" s="37">
        <v>5</v>
      </c>
      <c r="AL22" s="38">
        <f t="shared" si="1"/>
        <v>2</v>
      </c>
      <c r="AN22" s="43">
        <f t="shared" si="2"/>
        <v>2.1</v>
      </c>
      <c r="AO22" s="44"/>
      <c r="AP22" s="44"/>
      <c r="AQ22" s="45">
        <v>2</v>
      </c>
      <c r="AR22" s="47">
        <f t="shared" si="3"/>
        <v>2</v>
      </c>
      <c r="AS22" s="47"/>
      <c r="AT22" s="48">
        <v>2</v>
      </c>
      <c r="AU22" s="47">
        <v>2</v>
      </c>
      <c r="AV22" s="50">
        <f t="shared" si="4"/>
        <v>3</v>
      </c>
      <c r="AW22" s="49">
        <f t="shared" si="5"/>
        <v>3</v>
      </c>
      <c r="AX22" s="38">
        <f t="shared" si="6"/>
        <v>0.60000000000000009</v>
      </c>
      <c r="AY22" s="39">
        <v>1</v>
      </c>
      <c r="AZ22" s="39">
        <v>1</v>
      </c>
      <c r="BA22" s="49">
        <f t="shared" si="7"/>
        <v>2</v>
      </c>
      <c r="BD22" s="49">
        <f t="shared" si="8"/>
        <v>2</v>
      </c>
    </row>
    <row r="23" spans="1:56" s="38" customFormat="1" ht="28.2" customHeight="1" x14ac:dyDescent="0.3">
      <c r="A23" s="4">
        <v>119976</v>
      </c>
      <c r="B23" s="11" t="s">
        <v>34</v>
      </c>
      <c r="C23" s="4">
        <v>4</v>
      </c>
      <c r="D23" s="12">
        <v>231</v>
      </c>
      <c r="E23" s="12">
        <v>220</v>
      </c>
      <c r="F23" s="12">
        <v>168</v>
      </c>
      <c r="G23" s="12">
        <v>194</v>
      </c>
      <c r="H23" s="12">
        <v>202</v>
      </c>
      <c r="I23" s="12">
        <v>203</v>
      </c>
      <c r="J23" s="12">
        <v>192</v>
      </c>
      <c r="K23" s="9">
        <v>0</v>
      </c>
      <c r="L23" s="13">
        <v>1410</v>
      </c>
      <c r="M23" s="4">
        <v>46</v>
      </c>
      <c r="N23" s="4">
        <v>31</v>
      </c>
      <c r="O23" s="4">
        <v>28</v>
      </c>
      <c r="P23" s="4">
        <v>32</v>
      </c>
      <c r="Q23" s="4">
        <v>40</v>
      </c>
      <c r="R23" s="4">
        <v>41</v>
      </c>
      <c r="S23" s="4">
        <v>38</v>
      </c>
      <c r="T23" s="7">
        <v>256</v>
      </c>
      <c r="U23" s="4">
        <v>5</v>
      </c>
      <c r="V23" s="4">
        <v>7</v>
      </c>
      <c r="W23" s="4">
        <v>6</v>
      </c>
      <c r="X23" s="4">
        <v>6</v>
      </c>
      <c r="Y23" s="4">
        <v>5</v>
      </c>
      <c r="Z23" s="4">
        <v>5</v>
      </c>
      <c r="AA23" s="4">
        <v>5</v>
      </c>
      <c r="AB23" s="4">
        <v>0</v>
      </c>
      <c r="AC23" s="14">
        <v>39</v>
      </c>
      <c r="AD23" s="15">
        <v>44.25</v>
      </c>
      <c r="AE23" s="9">
        <v>39</v>
      </c>
      <c r="AF23" s="10">
        <v>5</v>
      </c>
      <c r="AG23" s="10">
        <f>COUNTIF(Transfer!E:E,Elem_!B23)</f>
        <v>2</v>
      </c>
      <c r="AH23" s="10">
        <f>COUNTIF(Transfer!H:H,Elem_!B23)</f>
        <v>0</v>
      </c>
      <c r="AI23" s="37">
        <f t="shared" si="0"/>
        <v>7</v>
      </c>
      <c r="AJ23" s="37">
        <v>2</v>
      </c>
      <c r="AK23" s="37">
        <v>7</v>
      </c>
      <c r="AL23" s="38">
        <f t="shared" si="1"/>
        <v>3</v>
      </c>
      <c r="AN23" s="43">
        <f t="shared" si="2"/>
        <v>2.94</v>
      </c>
      <c r="AO23" s="44"/>
      <c r="AP23" s="66" t="s">
        <v>192</v>
      </c>
      <c r="AQ23" s="45">
        <v>4</v>
      </c>
      <c r="AR23" s="47">
        <f t="shared" si="3"/>
        <v>2.8000000000000003</v>
      </c>
      <c r="AS23" s="47"/>
      <c r="AT23" s="48">
        <v>3</v>
      </c>
      <c r="AU23" s="47">
        <v>4</v>
      </c>
      <c r="AV23" s="50">
        <f t="shared" si="4"/>
        <v>3</v>
      </c>
      <c r="AW23" s="49">
        <f t="shared" si="5"/>
        <v>4.1999999999999993</v>
      </c>
      <c r="AX23" s="38">
        <f t="shared" si="6"/>
        <v>0.60000000000000009</v>
      </c>
      <c r="AY23" s="39">
        <v>1</v>
      </c>
      <c r="AZ23" s="39">
        <v>1</v>
      </c>
      <c r="BA23" s="49">
        <f t="shared" si="7"/>
        <v>2</v>
      </c>
      <c r="BD23" s="49">
        <f t="shared" si="8"/>
        <v>2</v>
      </c>
    </row>
    <row r="24" spans="1:56" s="38" customFormat="1" ht="28.2" customHeight="1" x14ac:dyDescent="0.3">
      <c r="A24" s="4">
        <v>119958</v>
      </c>
      <c r="B24" s="11" t="s">
        <v>35</v>
      </c>
      <c r="C24" s="4">
        <v>9</v>
      </c>
      <c r="D24" s="12">
        <v>121</v>
      </c>
      <c r="E24" s="12">
        <v>115</v>
      </c>
      <c r="F24" s="12">
        <v>117</v>
      </c>
      <c r="G24" s="12">
        <v>119</v>
      </c>
      <c r="H24" s="12">
        <v>109</v>
      </c>
      <c r="I24" s="12">
        <v>114</v>
      </c>
      <c r="J24" s="12">
        <v>150</v>
      </c>
      <c r="K24" s="9">
        <v>0</v>
      </c>
      <c r="L24" s="13">
        <v>845</v>
      </c>
      <c r="M24" s="4">
        <v>40</v>
      </c>
      <c r="N24" s="4">
        <v>29</v>
      </c>
      <c r="O24" s="4">
        <v>29</v>
      </c>
      <c r="P24" s="4">
        <v>30</v>
      </c>
      <c r="Q24" s="4">
        <v>36</v>
      </c>
      <c r="R24" s="4">
        <v>38</v>
      </c>
      <c r="S24" s="4">
        <v>38</v>
      </c>
      <c r="T24" s="7">
        <v>240</v>
      </c>
      <c r="U24" s="4">
        <v>3</v>
      </c>
      <c r="V24" s="4">
        <v>4</v>
      </c>
      <c r="W24" s="4">
        <v>4</v>
      </c>
      <c r="X24" s="4">
        <v>4</v>
      </c>
      <c r="Y24" s="4">
        <v>3</v>
      </c>
      <c r="Z24" s="4">
        <v>3</v>
      </c>
      <c r="AA24" s="4">
        <v>4</v>
      </c>
      <c r="AB24" s="4">
        <v>0</v>
      </c>
      <c r="AC24" s="14">
        <v>25</v>
      </c>
      <c r="AD24" s="15">
        <v>28.5</v>
      </c>
      <c r="AE24" s="9">
        <v>25</v>
      </c>
      <c r="AF24" s="10">
        <v>4</v>
      </c>
      <c r="AG24" s="10">
        <f>COUNTIF(Transfer!E:E,Elem_!B24)</f>
        <v>0</v>
      </c>
      <c r="AH24" s="10">
        <f>COUNTIF(Transfer!H:H,Elem_!B24)</f>
        <v>0</v>
      </c>
      <c r="AI24" s="37">
        <f t="shared" si="0"/>
        <v>4</v>
      </c>
      <c r="AJ24" s="37">
        <v>1</v>
      </c>
      <c r="AK24" s="37">
        <v>4</v>
      </c>
      <c r="AL24" s="38">
        <f t="shared" si="1"/>
        <v>2</v>
      </c>
      <c r="AN24" s="43">
        <f t="shared" si="2"/>
        <v>1.68</v>
      </c>
      <c r="AO24" s="44"/>
      <c r="AP24" s="44"/>
      <c r="AQ24" s="45">
        <v>2</v>
      </c>
      <c r="AR24" s="47">
        <f t="shared" si="3"/>
        <v>1.6</v>
      </c>
      <c r="AS24" s="47"/>
      <c r="AT24" s="48">
        <v>2</v>
      </c>
      <c r="AU24" s="47">
        <v>2</v>
      </c>
      <c r="AV24" s="50">
        <f t="shared" si="4"/>
        <v>2</v>
      </c>
      <c r="AW24" s="49">
        <f t="shared" si="5"/>
        <v>2.4</v>
      </c>
      <c r="AX24" s="38">
        <f t="shared" si="6"/>
        <v>0.4</v>
      </c>
      <c r="AY24" s="39"/>
      <c r="AZ24" s="39"/>
      <c r="BA24" s="49">
        <f t="shared" si="7"/>
        <v>2</v>
      </c>
      <c r="BB24" s="38">
        <v>1</v>
      </c>
      <c r="BC24" s="38">
        <v>1</v>
      </c>
      <c r="BD24" s="49">
        <f t="shared" si="8"/>
        <v>1</v>
      </c>
    </row>
    <row r="25" spans="1:56" s="38" customFormat="1" ht="28.2" customHeight="1" x14ac:dyDescent="0.3">
      <c r="A25" s="4">
        <v>119957</v>
      </c>
      <c r="B25" s="11" t="s">
        <v>36</v>
      </c>
      <c r="C25" s="4">
        <v>9</v>
      </c>
      <c r="D25" s="12">
        <v>156</v>
      </c>
      <c r="E25" s="12">
        <v>149</v>
      </c>
      <c r="F25" s="12">
        <v>129</v>
      </c>
      <c r="G25" s="12">
        <v>143</v>
      </c>
      <c r="H25" s="12">
        <v>157</v>
      </c>
      <c r="I25" s="12">
        <v>142</v>
      </c>
      <c r="J25" s="12">
        <v>138</v>
      </c>
      <c r="K25" s="9">
        <v>0</v>
      </c>
      <c r="L25" s="13">
        <v>1014</v>
      </c>
      <c r="M25" s="4">
        <v>52</v>
      </c>
      <c r="N25" s="4">
        <v>30</v>
      </c>
      <c r="O25" s="4">
        <v>32</v>
      </c>
      <c r="P25" s="4">
        <v>29</v>
      </c>
      <c r="Q25" s="4">
        <v>39</v>
      </c>
      <c r="R25" s="4">
        <v>36</v>
      </c>
      <c r="S25" s="4">
        <v>35</v>
      </c>
      <c r="T25" s="7">
        <v>253</v>
      </c>
      <c r="U25" s="4">
        <v>3</v>
      </c>
      <c r="V25" s="4">
        <v>5</v>
      </c>
      <c r="W25" s="4">
        <v>4</v>
      </c>
      <c r="X25" s="4">
        <v>5</v>
      </c>
      <c r="Y25" s="4">
        <v>4</v>
      </c>
      <c r="Z25" s="4">
        <v>4</v>
      </c>
      <c r="AA25" s="4">
        <v>4</v>
      </c>
      <c r="AB25" s="4">
        <v>0</v>
      </c>
      <c r="AC25" s="14">
        <v>29</v>
      </c>
      <c r="AD25" s="15">
        <v>33.25</v>
      </c>
      <c r="AE25" s="9">
        <v>31</v>
      </c>
      <c r="AF25" s="10">
        <v>2</v>
      </c>
      <c r="AG25" s="10">
        <f>COUNTIF(Transfer!E:E,Elem_!B25)</f>
        <v>0</v>
      </c>
      <c r="AH25" s="10">
        <f>COUNTIF(Transfer!H:H,Elem_!B25)</f>
        <v>0</v>
      </c>
      <c r="AI25" s="37">
        <f t="shared" si="0"/>
        <v>2</v>
      </c>
      <c r="AJ25" s="37">
        <v>1</v>
      </c>
      <c r="AK25" s="37">
        <v>2</v>
      </c>
      <c r="AL25" s="38">
        <f t="shared" si="1"/>
        <v>1</v>
      </c>
      <c r="AN25" s="43">
        <f t="shared" si="2"/>
        <v>0.84</v>
      </c>
      <c r="AO25" s="44"/>
      <c r="AP25" s="44"/>
      <c r="AQ25" s="45">
        <v>1</v>
      </c>
      <c r="AR25" s="47">
        <f t="shared" si="3"/>
        <v>0.8</v>
      </c>
      <c r="AS25" s="47"/>
      <c r="AT25" s="48">
        <v>1</v>
      </c>
      <c r="AU25" s="47">
        <v>1</v>
      </c>
      <c r="AV25" s="50">
        <f t="shared" si="4"/>
        <v>1</v>
      </c>
      <c r="AW25" s="49">
        <f t="shared" si="5"/>
        <v>1.2</v>
      </c>
      <c r="AX25" s="38">
        <f t="shared" si="6"/>
        <v>0.2</v>
      </c>
      <c r="AY25" s="39"/>
      <c r="AZ25" s="39"/>
      <c r="BA25" s="49">
        <f t="shared" si="7"/>
        <v>1</v>
      </c>
      <c r="BD25" s="49">
        <f t="shared" si="8"/>
        <v>1</v>
      </c>
    </row>
    <row r="26" spans="1:56" s="38" customFormat="1" ht="28.2" customHeight="1" x14ac:dyDescent="0.3">
      <c r="A26" s="4">
        <v>119993</v>
      </c>
      <c r="B26" s="11" t="s">
        <v>37</v>
      </c>
      <c r="C26" s="4">
        <v>7</v>
      </c>
      <c r="D26" s="12">
        <v>79</v>
      </c>
      <c r="E26" s="12">
        <v>75</v>
      </c>
      <c r="F26" s="12">
        <v>84</v>
      </c>
      <c r="G26" s="12">
        <v>104</v>
      </c>
      <c r="H26" s="12">
        <v>108</v>
      </c>
      <c r="I26" s="12">
        <v>79</v>
      </c>
      <c r="J26" s="12">
        <v>101</v>
      </c>
      <c r="K26" s="9">
        <v>0</v>
      </c>
      <c r="L26" s="13">
        <v>630</v>
      </c>
      <c r="M26" s="4">
        <v>40</v>
      </c>
      <c r="N26" s="4">
        <v>25</v>
      </c>
      <c r="O26" s="4">
        <v>28</v>
      </c>
      <c r="P26" s="4">
        <v>26</v>
      </c>
      <c r="Q26" s="4">
        <v>36</v>
      </c>
      <c r="R26" s="4">
        <v>40</v>
      </c>
      <c r="S26" s="4">
        <v>34</v>
      </c>
      <c r="T26" s="7">
        <v>229</v>
      </c>
      <c r="U26" s="4">
        <v>2</v>
      </c>
      <c r="V26" s="4">
        <v>3</v>
      </c>
      <c r="W26" s="4">
        <v>3</v>
      </c>
      <c r="X26" s="4">
        <v>4</v>
      </c>
      <c r="Y26" s="4">
        <v>3</v>
      </c>
      <c r="Z26" s="4">
        <v>2</v>
      </c>
      <c r="AA26" s="4">
        <v>3</v>
      </c>
      <c r="AB26" s="4">
        <v>0</v>
      </c>
      <c r="AC26" s="14">
        <v>20</v>
      </c>
      <c r="AD26" s="15">
        <v>23</v>
      </c>
      <c r="AE26" s="9">
        <v>23</v>
      </c>
      <c r="AF26" s="10">
        <v>0</v>
      </c>
      <c r="AG26" s="10">
        <f>COUNTIF(Transfer!E:E,Elem_!B26)</f>
        <v>0</v>
      </c>
      <c r="AH26" s="10">
        <f>COUNTIF(Transfer!H:H,Elem_!B26)</f>
        <v>0</v>
      </c>
      <c r="AI26" s="37">
        <f t="shared" si="0"/>
        <v>0</v>
      </c>
      <c r="AJ26" s="37">
        <v>0</v>
      </c>
      <c r="AK26" s="37"/>
      <c r="AL26" s="38">
        <f t="shared" si="1"/>
        <v>0</v>
      </c>
      <c r="AN26" s="43">
        <f t="shared" si="2"/>
        <v>0</v>
      </c>
      <c r="AO26" s="44"/>
      <c r="AP26" s="44"/>
      <c r="AQ26" s="45">
        <v>0</v>
      </c>
      <c r="AR26" s="47">
        <f t="shared" si="3"/>
        <v>0</v>
      </c>
      <c r="AS26" s="47"/>
      <c r="AT26" s="48"/>
      <c r="AU26" s="47"/>
      <c r="AV26" s="70">
        <f t="shared" si="4"/>
        <v>0</v>
      </c>
      <c r="AW26" s="76">
        <f t="shared" si="5"/>
        <v>0</v>
      </c>
      <c r="AX26" s="75">
        <f t="shared" si="6"/>
        <v>0</v>
      </c>
      <c r="AY26" s="39"/>
      <c r="AZ26" s="39"/>
      <c r="BA26" s="76">
        <f t="shared" si="7"/>
        <v>0</v>
      </c>
      <c r="BD26" s="99">
        <f t="shared" si="8"/>
        <v>0</v>
      </c>
    </row>
    <row r="27" spans="1:56" s="38" customFormat="1" ht="28.2" customHeight="1" x14ac:dyDescent="0.3">
      <c r="A27" s="4">
        <v>119980</v>
      </c>
      <c r="B27" s="11" t="s">
        <v>38</v>
      </c>
      <c r="C27" s="4">
        <v>4</v>
      </c>
      <c r="D27" s="12">
        <v>186</v>
      </c>
      <c r="E27" s="12">
        <v>177</v>
      </c>
      <c r="F27" s="12">
        <v>130</v>
      </c>
      <c r="G27" s="12">
        <v>134</v>
      </c>
      <c r="H27" s="12">
        <v>148</v>
      </c>
      <c r="I27" s="12">
        <v>161</v>
      </c>
      <c r="J27" s="12">
        <v>138</v>
      </c>
      <c r="K27" s="9">
        <v>0</v>
      </c>
      <c r="L27" s="13">
        <v>1074</v>
      </c>
      <c r="M27" s="4">
        <v>47</v>
      </c>
      <c r="N27" s="4">
        <v>30</v>
      </c>
      <c r="O27" s="4">
        <v>33</v>
      </c>
      <c r="P27" s="4">
        <v>27</v>
      </c>
      <c r="Q27" s="4">
        <v>37</v>
      </c>
      <c r="R27" s="4">
        <v>40</v>
      </c>
      <c r="S27" s="4">
        <v>35</v>
      </c>
      <c r="T27" s="7">
        <v>249</v>
      </c>
      <c r="U27" s="4">
        <v>4</v>
      </c>
      <c r="V27" s="4">
        <v>6</v>
      </c>
      <c r="W27" s="4">
        <v>4</v>
      </c>
      <c r="X27" s="4">
        <v>5</v>
      </c>
      <c r="Y27" s="4">
        <v>4</v>
      </c>
      <c r="Z27" s="4">
        <v>4</v>
      </c>
      <c r="AA27" s="4">
        <v>4</v>
      </c>
      <c r="AB27" s="4">
        <v>0</v>
      </c>
      <c r="AC27" s="14">
        <v>31</v>
      </c>
      <c r="AD27" s="15">
        <v>35.25</v>
      </c>
      <c r="AE27" s="9">
        <v>31</v>
      </c>
      <c r="AF27" s="10">
        <v>4</v>
      </c>
      <c r="AG27" s="10">
        <f>COUNTIF(Transfer!E:E,Elem_!B27)</f>
        <v>0</v>
      </c>
      <c r="AH27" s="10">
        <f>COUNTIF(Transfer!H:H,Elem_!B27)</f>
        <v>1</v>
      </c>
      <c r="AI27" s="37">
        <f t="shared" si="0"/>
        <v>3</v>
      </c>
      <c r="AJ27" s="37">
        <v>1</v>
      </c>
      <c r="AK27" s="37">
        <v>3</v>
      </c>
      <c r="AL27" s="38">
        <f t="shared" si="1"/>
        <v>1</v>
      </c>
      <c r="AN27" s="43">
        <f t="shared" si="2"/>
        <v>1.26</v>
      </c>
      <c r="AO27" s="44"/>
      <c r="AP27" s="66" t="s">
        <v>191</v>
      </c>
      <c r="AQ27" s="45">
        <v>0</v>
      </c>
      <c r="AR27" s="47">
        <f t="shared" si="3"/>
        <v>1.2000000000000002</v>
      </c>
      <c r="AS27" s="47"/>
      <c r="AT27" s="48">
        <v>1</v>
      </c>
      <c r="AU27" s="47"/>
      <c r="AV27" s="50">
        <f t="shared" si="4"/>
        <v>3</v>
      </c>
      <c r="AW27" s="49">
        <f t="shared" si="5"/>
        <v>1.7999999999999998</v>
      </c>
      <c r="AX27" s="38">
        <f t="shared" si="6"/>
        <v>0.60000000000000009</v>
      </c>
      <c r="AY27" s="39">
        <v>1</v>
      </c>
      <c r="AZ27" s="39">
        <v>1</v>
      </c>
      <c r="BA27" s="49">
        <f t="shared" si="7"/>
        <v>2</v>
      </c>
      <c r="BD27" s="49">
        <f t="shared" si="8"/>
        <v>2</v>
      </c>
    </row>
    <row r="28" spans="1:56" s="38" customFormat="1" ht="28.2" customHeight="1" x14ac:dyDescent="0.3">
      <c r="A28" s="4">
        <v>119952</v>
      </c>
      <c r="B28" s="11" t="s">
        <v>39</v>
      </c>
      <c r="C28" s="4">
        <v>10</v>
      </c>
      <c r="D28" s="12">
        <v>44</v>
      </c>
      <c r="E28" s="12">
        <v>42</v>
      </c>
      <c r="F28" s="12">
        <v>34</v>
      </c>
      <c r="G28" s="12">
        <v>60</v>
      </c>
      <c r="H28" s="12">
        <v>51</v>
      </c>
      <c r="I28" s="12">
        <v>47</v>
      </c>
      <c r="J28" s="12">
        <v>67</v>
      </c>
      <c r="K28" s="9">
        <v>0</v>
      </c>
      <c r="L28" s="13">
        <v>345</v>
      </c>
      <c r="M28" s="4">
        <v>44</v>
      </c>
      <c r="N28" s="4">
        <v>21</v>
      </c>
      <c r="O28" s="4">
        <v>17</v>
      </c>
      <c r="P28" s="4">
        <v>30</v>
      </c>
      <c r="Q28" s="4">
        <v>26</v>
      </c>
      <c r="R28" s="4">
        <v>24</v>
      </c>
      <c r="S28" s="4">
        <v>34</v>
      </c>
      <c r="T28" s="7">
        <v>196</v>
      </c>
      <c r="U28" s="4">
        <v>1</v>
      </c>
      <c r="V28" s="4">
        <v>2</v>
      </c>
      <c r="W28" s="4">
        <v>2</v>
      </c>
      <c r="X28" s="4">
        <v>2</v>
      </c>
      <c r="Y28" s="4">
        <v>2</v>
      </c>
      <c r="Z28" s="4">
        <v>2</v>
      </c>
      <c r="AA28" s="4">
        <v>2</v>
      </c>
      <c r="AB28" s="4">
        <v>0</v>
      </c>
      <c r="AC28" s="14">
        <v>13</v>
      </c>
      <c r="AD28" s="15">
        <v>15</v>
      </c>
      <c r="AE28" s="9">
        <v>14</v>
      </c>
      <c r="AF28" s="10">
        <v>1</v>
      </c>
      <c r="AG28" s="10">
        <f>COUNTIF(Transfer!E:E,Elem_!B28)</f>
        <v>0</v>
      </c>
      <c r="AH28" s="10">
        <f>COUNTIF(Transfer!H:H,Elem_!B28)</f>
        <v>0</v>
      </c>
      <c r="AI28" s="37">
        <f t="shared" si="0"/>
        <v>1</v>
      </c>
      <c r="AJ28" s="37">
        <v>0</v>
      </c>
      <c r="AK28" s="37"/>
      <c r="AL28" s="38">
        <f t="shared" si="1"/>
        <v>0</v>
      </c>
      <c r="AN28" s="43">
        <f t="shared" si="2"/>
        <v>0.42</v>
      </c>
      <c r="AO28" s="44"/>
      <c r="AP28" s="44"/>
      <c r="AQ28" s="45">
        <v>0</v>
      </c>
      <c r="AR28" s="47">
        <f t="shared" si="3"/>
        <v>0.4</v>
      </c>
      <c r="AS28" s="47"/>
      <c r="AT28" s="48"/>
      <c r="AU28" s="47"/>
      <c r="AV28" s="50">
        <f t="shared" si="4"/>
        <v>1</v>
      </c>
      <c r="AW28" s="49">
        <f t="shared" si="5"/>
        <v>0.6</v>
      </c>
      <c r="AX28" s="38">
        <f t="shared" si="6"/>
        <v>0.2</v>
      </c>
      <c r="AY28" s="39"/>
      <c r="AZ28" s="39"/>
      <c r="BA28" s="49">
        <f t="shared" si="7"/>
        <v>1</v>
      </c>
      <c r="BD28" s="49">
        <f t="shared" si="8"/>
        <v>1</v>
      </c>
    </row>
    <row r="29" spans="1:56" s="38" customFormat="1" ht="28.2" customHeight="1" x14ac:dyDescent="0.3">
      <c r="A29" s="4">
        <v>119992</v>
      </c>
      <c r="B29" s="11" t="s">
        <v>40</v>
      </c>
      <c r="C29" s="4">
        <v>8</v>
      </c>
      <c r="D29" s="12">
        <v>36</v>
      </c>
      <c r="E29" s="12">
        <v>34</v>
      </c>
      <c r="F29" s="12">
        <v>40</v>
      </c>
      <c r="G29" s="12">
        <v>43</v>
      </c>
      <c r="H29" s="12">
        <v>43</v>
      </c>
      <c r="I29" s="12">
        <v>46</v>
      </c>
      <c r="J29" s="12">
        <v>32</v>
      </c>
      <c r="K29" s="9">
        <v>0</v>
      </c>
      <c r="L29" s="13">
        <v>274</v>
      </c>
      <c r="M29" s="4">
        <v>36</v>
      </c>
      <c r="N29" s="4">
        <v>17</v>
      </c>
      <c r="O29" s="4">
        <v>20</v>
      </c>
      <c r="P29" s="4">
        <v>22</v>
      </c>
      <c r="Q29" s="4">
        <v>43</v>
      </c>
      <c r="R29" s="4">
        <v>23</v>
      </c>
      <c r="S29" s="4">
        <v>32</v>
      </c>
      <c r="T29" s="7">
        <v>193</v>
      </c>
      <c r="U29" s="4">
        <v>1</v>
      </c>
      <c r="V29" s="4">
        <v>2</v>
      </c>
      <c r="W29" s="4">
        <v>2</v>
      </c>
      <c r="X29" s="4">
        <v>2</v>
      </c>
      <c r="Y29" s="4">
        <v>1</v>
      </c>
      <c r="Z29" s="4">
        <v>2</v>
      </c>
      <c r="AA29" s="4">
        <v>1</v>
      </c>
      <c r="AB29" s="4">
        <v>0</v>
      </c>
      <c r="AC29" s="14">
        <v>11</v>
      </c>
      <c r="AD29" s="15">
        <v>12.5</v>
      </c>
      <c r="AE29" s="9">
        <v>12</v>
      </c>
      <c r="AF29" s="10">
        <v>1</v>
      </c>
      <c r="AG29" s="10">
        <f>COUNTIF(Transfer!E:E,Elem_!B29)</f>
        <v>1</v>
      </c>
      <c r="AH29" s="10">
        <f>COUNTIF(Transfer!H:H,Elem_!B29)</f>
        <v>0</v>
      </c>
      <c r="AI29" s="37">
        <f t="shared" si="0"/>
        <v>2</v>
      </c>
      <c r="AJ29" s="37">
        <v>1</v>
      </c>
      <c r="AK29" s="37">
        <v>2</v>
      </c>
      <c r="AL29" s="38">
        <f t="shared" si="1"/>
        <v>1</v>
      </c>
      <c r="AN29" s="43">
        <f t="shared" si="2"/>
        <v>0.84</v>
      </c>
      <c r="AO29" s="44"/>
      <c r="AP29" s="66" t="s">
        <v>192</v>
      </c>
      <c r="AQ29" s="45">
        <v>2</v>
      </c>
      <c r="AR29" s="47">
        <f t="shared" si="3"/>
        <v>0.8</v>
      </c>
      <c r="AS29" s="47"/>
      <c r="AT29" s="48">
        <v>1</v>
      </c>
      <c r="AU29" s="47">
        <v>2</v>
      </c>
      <c r="AV29" s="70">
        <f t="shared" si="4"/>
        <v>0</v>
      </c>
      <c r="AW29" s="76">
        <f t="shared" si="5"/>
        <v>1.2</v>
      </c>
      <c r="AX29" s="75">
        <f t="shared" si="6"/>
        <v>0</v>
      </c>
      <c r="AY29" s="39"/>
      <c r="AZ29" s="39"/>
      <c r="BA29" s="76">
        <f t="shared" si="7"/>
        <v>0</v>
      </c>
      <c r="BD29" s="99">
        <f t="shared" si="8"/>
        <v>0</v>
      </c>
    </row>
    <row r="30" spans="1:56" s="38" customFormat="1" ht="28.2" customHeight="1" x14ac:dyDescent="0.3">
      <c r="A30" s="4">
        <v>119951</v>
      </c>
      <c r="B30" s="11" t="s">
        <v>41</v>
      </c>
      <c r="C30" s="4">
        <v>10</v>
      </c>
      <c r="D30" s="12">
        <v>55</v>
      </c>
      <c r="E30" s="12">
        <v>52</v>
      </c>
      <c r="F30" s="12">
        <v>45</v>
      </c>
      <c r="G30" s="12">
        <v>45</v>
      </c>
      <c r="H30" s="12">
        <v>40</v>
      </c>
      <c r="I30" s="12">
        <v>49</v>
      </c>
      <c r="J30" s="12">
        <v>44</v>
      </c>
      <c r="K30" s="9">
        <v>0</v>
      </c>
      <c r="L30" s="13">
        <v>330</v>
      </c>
      <c r="M30" s="4">
        <v>55</v>
      </c>
      <c r="N30" s="4">
        <v>26</v>
      </c>
      <c r="O30" s="4">
        <v>23</v>
      </c>
      <c r="P30" s="4">
        <v>23</v>
      </c>
      <c r="Q30" s="4">
        <v>40</v>
      </c>
      <c r="R30" s="4">
        <v>25</v>
      </c>
      <c r="S30" s="4">
        <v>22</v>
      </c>
      <c r="T30" s="7">
        <v>214</v>
      </c>
      <c r="U30" s="4">
        <v>1</v>
      </c>
      <c r="V30" s="4">
        <v>2</v>
      </c>
      <c r="W30" s="4">
        <v>2</v>
      </c>
      <c r="X30" s="4">
        <v>2</v>
      </c>
      <c r="Y30" s="4">
        <v>1</v>
      </c>
      <c r="Z30" s="4">
        <v>2</v>
      </c>
      <c r="AA30" s="4">
        <v>2</v>
      </c>
      <c r="AB30" s="4">
        <v>0</v>
      </c>
      <c r="AC30" s="14">
        <v>12</v>
      </c>
      <c r="AD30" s="15">
        <v>13.75</v>
      </c>
      <c r="AE30" s="9">
        <v>13</v>
      </c>
      <c r="AF30" s="10">
        <v>1</v>
      </c>
      <c r="AG30" s="10">
        <f>COUNTIF(Transfer!E:E,Elem_!B30)</f>
        <v>0</v>
      </c>
      <c r="AH30" s="10">
        <f>COUNTIF(Transfer!H:H,Elem_!B30)</f>
        <v>0</v>
      </c>
      <c r="AI30" s="37">
        <f t="shared" si="0"/>
        <v>1</v>
      </c>
      <c r="AJ30" s="37">
        <v>0</v>
      </c>
      <c r="AK30" s="37"/>
      <c r="AL30" s="38">
        <f t="shared" si="1"/>
        <v>0</v>
      </c>
      <c r="AN30" s="43">
        <f t="shared" si="2"/>
        <v>0.42</v>
      </c>
      <c r="AO30" s="44"/>
      <c r="AP30" s="44"/>
      <c r="AQ30" s="45">
        <v>0</v>
      </c>
      <c r="AR30" s="47">
        <f t="shared" si="3"/>
        <v>0.4</v>
      </c>
      <c r="AS30" s="47"/>
      <c r="AT30" s="48"/>
      <c r="AU30" s="47"/>
      <c r="AV30" s="50">
        <f t="shared" si="4"/>
        <v>1</v>
      </c>
      <c r="AW30" s="49">
        <f t="shared" si="5"/>
        <v>0.6</v>
      </c>
      <c r="AX30" s="38">
        <f t="shared" si="6"/>
        <v>0.2</v>
      </c>
      <c r="AY30" s="39"/>
      <c r="AZ30" s="39"/>
      <c r="BA30" s="49">
        <f t="shared" si="7"/>
        <v>1</v>
      </c>
      <c r="BD30" s="49">
        <f t="shared" si="8"/>
        <v>1</v>
      </c>
    </row>
    <row r="31" spans="1:56" s="38" customFormat="1" ht="28.2" customHeight="1" x14ac:dyDescent="0.3">
      <c r="A31" s="4">
        <v>119971</v>
      </c>
      <c r="B31" s="11" t="s">
        <v>42</v>
      </c>
      <c r="C31" s="4">
        <v>2</v>
      </c>
      <c r="D31" s="12">
        <v>436</v>
      </c>
      <c r="E31" s="12">
        <v>415</v>
      </c>
      <c r="F31" s="12">
        <v>371</v>
      </c>
      <c r="G31" s="12">
        <v>421</v>
      </c>
      <c r="H31" s="12">
        <v>415</v>
      </c>
      <c r="I31" s="12">
        <v>450</v>
      </c>
      <c r="J31" s="12">
        <v>437</v>
      </c>
      <c r="K31" s="9">
        <v>0</v>
      </c>
      <c r="L31" s="13">
        <v>2945</v>
      </c>
      <c r="M31" s="4">
        <v>55</v>
      </c>
      <c r="N31" s="4">
        <v>32</v>
      </c>
      <c r="O31" s="4">
        <v>31</v>
      </c>
      <c r="P31" s="4">
        <v>32</v>
      </c>
      <c r="Q31" s="4">
        <v>42</v>
      </c>
      <c r="R31" s="4">
        <v>41</v>
      </c>
      <c r="S31" s="4">
        <v>40</v>
      </c>
      <c r="T31" s="7">
        <v>273</v>
      </c>
      <c r="U31" s="4">
        <v>8</v>
      </c>
      <c r="V31" s="4">
        <v>13</v>
      </c>
      <c r="W31" s="4">
        <v>12</v>
      </c>
      <c r="X31" s="4">
        <v>13</v>
      </c>
      <c r="Y31" s="4">
        <v>10</v>
      </c>
      <c r="Z31" s="4">
        <v>11</v>
      </c>
      <c r="AA31" s="4">
        <v>11</v>
      </c>
      <c r="AB31" s="4">
        <v>0</v>
      </c>
      <c r="AC31" s="14">
        <v>78</v>
      </c>
      <c r="AD31" s="15">
        <v>89.25</v>
      </c>
      <c r="AE31" s="9">
        <v>83</v>
      </c>
      <c r="AF31" s="10">
        <v>6</v>
      </c>
      <c r="AG31" s="10">
        <f>COUNTIF(Transfer!E:E,Elem_!B31)</f>
        <v>1</v>
      </c>
      <c r="AH31" s="10">
        <f>COUNTIF(Transfer!H:H,Elem_!B31)</f>
        <v>0</v>
      </c>
      <c r="AI31" s="37">
        <f t="shared" si="0"/>
        <v>7</v>
      </c>
      <c r="AJ31" s="37">
        <v>2</v>
      </c>
      <c r="AK31" s="37">
        <v>7</v>
      </c>
      <c r="AL31" s="38">
        <f t="shared" si="1"/>
        <v>3</v>
      </c>
      <c r="AN31" s="43">
        <f t="shared" si="2"/>
        <v>2.94</v>
      </c>
      <c r="AO31" s="44"/>
      <c r="AP31" s="66" t="s">
        <v>192</v>
      </c>
      <c r="AQ31" s="45">
        <v>4</v>
      </c>
      <c r="AR31" s="47">
        <f t="shared" si="3"/>
        <v>2.8000000000000003</v>
      </c>
      <c r="AS31" s="47"/>
      <c r="AT31" s="48">
        <v>3</v>
      </c>
      <c r="AU31" s="47">
        <v>4</v>
      </c>
      <c r="AV31" s="50">
        <f t="shared" si="4"/>
        <v>3</v>
      </c>
      <c r="AW31" s="49">
        <f t="shared" si="5"/>
        <v>4.1999999999999993</v>
      </c>
      <c r="AX31" s="38">
        <f t="shared" si="6"/>
        <v>0.60000000000000009</v>
      </c>
      <c r="AY31" s="39"/>
      <c r="AZ31" s="39"/>
      <c r="BA31" s="49">
        <f t="shared" si="7"/>
        <v>3</v>
      </c>
      <c r="BB31" s="38">
        <v>1</v>
      </c>
      <c r="BC31" s="38">
        <v>1</v>
      </c>
      <c r="BD31" s="49">
        <f t="shared" si="8"/>
        <v>2</v>
      </c>
    </row>
    <row r="32" spans="1:56" s="38" customFormat="1" ht="28.2" customHeight="1" x14ac:dyDescent="0.3">
      <c r="A32" s="4">
        <v>119969</v>
      </c>
      <c r="B32" s="11" t="s">
        <v>43</v>
      </c>
      <c r="C32" s="4">
        <v>2</v>
      </c>
      <c r="D32" s="12">
        <v>240</v>
      </c>
      <c r="E32" s="12">
        <v>229</v>
      </c>
      <c r="F32" s="12">
        <v>197</v>
      </c>
      <c r="G32" s="12">
        <v>221</v>
      </c>
      <c r="H32" s="12">
        <v>254</v>
      </c>
      <c r="I32" s="12">
        <v>199</v>
      </c>
      <c r="J32" s="12">
        <v>218</v>
      </c>
      <c r="K32" s="9">
        <v>0</v>
      </c>
      <c r="L32" s="13">
        <v>1558</v>
      </c>
      <c r="M32" s="4">
        <v>48</v>
      </c>
      <c r="N32" s="4">
        <v>33</v>
      </c>
      <c r="O32" s="4">
        <v>33</v>
      </c>
      <c r="P32" s="4">
        <v>32</v>
      </c>
      <c r="Q32" s="4">
        <v>42</v>
      </c>
      <c r="R32" s="4">
        <v>40</v>
      </c>
      <c r="S32" s="4">
        <v>36</v>
      </c>
      <c r="T32" s="7">
        <v>264</v>
      </c>
      <c r="U32" s="4">
        <v>5</v>
      </c>
      <c r="V32" s="4">
        <v>7</v>
      </c>
      <c r="W32" s="4">
        <v>6</v>
      </c>
      <c r="X32" s="4">
        <v>7</v>
      </c>
      <c r="Y32" s="4">
        <v>6</v>
      </c>
      <c r="Z32" s="4">
        <v>5</v>
      </c>
      <c r="AA32" s="4">
        <v>6</v>
      </c>
      <c r="AB32" s="4">
        <v>0</v>
      </c>
      <c r="AC32" s="14">
        <v>42</v>
      </c>
      <c r="AD32" s="15">
        <v>48</v>
      </c>
      <c r="AE32" s="9">
        <v>46</v>
      </c>
      <c r="AF32" s="10">
        <v>2</v>
      </c>
      <c r="AG32" s="10">
        <f>COUNTIF(Transfer!E:E,Elem_!B32)</f>
        <v>0</v>
      </c>
      <c r="AH32" s="10">
        <f>COUNTIF(Transfer!H:H,Elem_!B32)</f>
        <v>0</v>
      </c>
      <c r="AI32" s="37">
        <f t="shared" si="0"/>
        <v>2</v>
      </c>
      <c r="AJ32" s="37">
        <v>1</v>
      </c>
      <c r="AK32" s="37">
        <v>2</v>
      </c>
      <c r="AL32" s="38">
        <f t="shared" si="1"/>
        <v>1</v>
      </c>
      <c r="AN32" s="43">
        <f t="shared" si="2"/>
        <v>0.84</v>
      </c>
      <c r="AO32" s="44"/>
      <c r="AP32" s="44"/>
      <c r="AQ32" s="45">
        <v>1</v>
      </c>
      <c r="AR32" s="47">
        <f t="shared" si="3"/>
        <v>0.8</v>
      </c>
      <c r="AS32" s="47"/>
      <c r="AT32" s="48">
        <v>1</v>
      </c>
      <c r="AU32" s="47">
        <v>1</v>
      </c>
      <c r="AV32" s="50">
        <f t="shared" si="4"/>
        <v>1</v>
      </c>
      <c r="AW32" s="49">
        <f t="shared" si="5"/>
        <v>1.2</v>
      </c>
      <c r="AX32" s="38">
        <f t="shared" si="6"/>
        <v>0.2</v>
      </c>
      <c r="AY32" s="39"/>
      <c r="AZ32" s="39"/>
      <c r="BA32" s="49">
        <f t="shared" si="7"/>
        <v>1</v>
      </c>
      <c r="BD32" s="49">
        <f t="shared" si="8"/>
        <v>1</v>
      </c>
    </row>
    <row r="33" spans="1:56" s="38" customFormat="1" ht="28.2" customHeight="1" x14ac:dyDescent="0.3">
      <c r="A33" s="4">
        <v>119990</v>
      </c>
      <c r="B33" s="11" t="s">
        <v>44</v>
      </c>
      <c r="C33" s="4">
        <v>7</v>
      </c>
      <c r="D33" s="12">
        <v>143</v>
      </c>
      <c r="E33" s="12">
        <v>136</v>
      </c>
      <c r="F33" s="12">
        <v>121</v>
      </c>
      <c r="G33" s="12">
        <v>177</v>
      </c>
      <c r="H33" s="12">
        <v>154</v>
      </c>
      <c r="I33" s="12">
        <v>164</v>
      </c>
      <c r="J33" s="12">
        <v>134</v>
      </c>
      <c r="K33" s="9">
        <v>0</v>
      </c>
      <c r="L33" s="13">
        <v>1029</v>
      </c>
      <c r="M33" s="4">
        <v>48</v>
      </c>
      <c r="N33" s="4">
        <v>27</v>
      </c>
      <c r="O33" s="4">
        <v>30</v>
      </c>
      <c r="P33" s="4">
        <v>30</v>
      </c>
      <c r="Q33" s="4">
        <v>39</v>
      </c>
      <c r="R33" s="4">
        <v>41</v>
      </c>
      <c r="S33" s="4">
        <v>34</v>
      </c>
      <c r="T33" s="7">
        <v>249</v>
      </c>
      <c r="U33" s="4">
        <v>3</v>
      </c>
      <c r="V33" s="4">
        <v>5</v>
      </c>
      <c r="W33" s="4">
        <v>4</v>
      </c>
      <c r="X33" s="4">
        <v>6</v>
      </c>
      <c r="Y33" s="4">
        <v>4</v>
      </c>
      <c r="Z33" s="4">
        <v>4</v>
      </c>
      <c r="AA33" s="4">
        <v>4</v>
      </c>
      <c r="AB33" s="4">
        <v>0</v>
      </c>
      <c r="AC33" s="14">
        <v>30</v>
      </c>
      <c r="AD33" s="15">
        <v>34.5</v>
      </c>
      <c r="AE33" s="9">
        <v>32</v>
      </c>
      <c r="AF33" s="10">
        <v>3</v>
      </c>
      <c r="AG33" s="10">
        <f>COUNTIF(Transfer!E:E,Elem_!B33)</f>
        <v>0</v>
      </c>
      <c r="AH33" s="10">
        <f>COUNTIF(Transfer!H:H,Elem_!B33)</f>
        <v>0</v>
      </c>
      <c r="AI33" s="37">
        <f t="shared" si="0"/>
        <v>3</v>
      </c>
      <c r="AJ33" s="37">
        <v>1</v>
      </c>
      <c r="AK33" s="37">
        <v>3</v>
      </c>
      <c r="AL33" s="38">
        <f t="shared" si="1"/>
        <v>1</v>
      </c>
      <c r="AN33" s="43">
        <f t="shared" si="2"/>
        <v>1.26</v>
      </c>
      <c r="AO33" s="44"/>
      <c r="AP33" s="44"/>
      <c r="AQ33" s="45">
        <v>1</v>
      </c>
      <c r="AR33" s="47">
        <f t="shared" si="3"/>
        <v>1.2000000000000002</v>
      </c>
      <c r="AS33" s="47"/>
      <c r="AT33" s="48">
        <v>1</v>
      </c>
      <c r="AU33" s="47">
        <v>1</v>
      </c>
      <c r="AV33" s="50">
        <f t="shared" si="4"/>
        <v>2</v>
      </c>
      <c r="AW33" s="49">
        <f t="shared" si="5"/>
        <v>1.7999999999999998</v>
      </c>
      <c r="AX33" s="38">
        <f t="shared" si="6"/>
        <v>0.4</v>
      </c>
      <c r="AY33" s="39">
        <v>1</v>
      </c>
      <c r="AZ33" s="39">
        <v>1</v>
      </c>
      <c r="BA33" s="49">
        <f t="shared" si="7"/>
        <v>1</v>
      </c>
      <c r="BD33" s="49">
        <f t="shared" si="8"/>
        <v>1</v>
      </c>
    </row>
    <row r="34" spans="1:56" s="38" customFormat="1" ht="28.2" customHeight="1" x14ac:dyDescent="0.3">
      <c r="A34" s="4">
        <v>119956</v>
      </c>
      <c r="B34" s="11" t="s">
        <v>45</v>
      </c>
      <c r="C34" s="4">
        <v>9</v>
      </c>
      <c r="D34" s="12">
        <v>126</v>
      </c>
      <c r="E34" s="12">
        <v>120</v>
      </c>
      <c r="F34" s="12">
        <v>94</v>
      </c>
      <c r="G34" s="12">
        <v>112</v>
      </c>
      <c r="H34" s="12">
        <v>109</v>
      </c>
      <c r="I34" s="12">
        <v>92</v>
      </c>
      <c r="J34" s="12">
        <v>100</v>
      </c>
      <c r="K34" s="9">
        <v>0</v>
      </c>
      <c r="L34" s="13">
        <v>753</v>
      </c>
      <c r="M34" s="4">
        <v>42</v>
      </c>
      <c r="N34" s="4">
        <v>30</v>
      </c>
      <c r="O34" s="4">
        <v>31</v>
      </c>
      <c r="P34" s="4">
        <v>28</v>
      </c>
      <c r="Q34" s="4">
        <v>36</v>
      </c>
      <c r="R34" s="4">
        <v>31</v>
      </c>
      <c r="S34" s="4">
        <v>33</v>
      </c>
      <c r="T34" s="7">
        <v>231</v>
      </c>
      <c r="U34" s="4">
        <v>3</v>
      </c>
      <c r="V34" s="4">
        <v>4</v>
      </c>
      <c r="W34" s="4">
        <v>3</v>
      </c>
      <c r="X34" s="4">
        <v>4</v>
      </c>
      <c r="Y34" s="4">
        <v>3</v>
      </c>
      <c r="Z34" s="4">
        <v>3</v>
      </c>
      <c r="AA34" s="4">
        <v>3</v>
      </c>
      <c r="AB34" s="4">
        <v>0</v>
      </c>
      <c r="AC34" s="14">
        <v>23</v>
      </c>
      <c r="AD34" s="15">
        <v>26.25</v>
      </c>
      <c r="AE34" s="9">
        <v>25</v>
      </c>
      <c r="AF34" s="10">
        <v>1</v>
      </c>
      <c r="AG34" s="10">
        <f>COUNTIF(Transfer!E:E,Elem_!B34)</f>
        <v>0</v>
      </c>
      <c r="AH34" s="10">
        <f>COUNTIF(Transfer!H:H,Elem_!B34)</f>
        <v>0</v>
      </c>
      <c r="AI34" s="37">
        <f t="shared" si="0"/>
        <v>1</v>
      </c>
      <c r="AJ34" s="37">
        <v>0</v>
      </c>
      <c r="AK34" s="37"/>
      <c r="AL34" s="38">
        <f t="shared" si="1"/>
        <v>0</v>
      </c>
      <c r="AN34" s="43">
        <f t="shared" si="2"/>
        <v>0.42</v>
      </c>
      <c r="AO34" s="44"/>
      <c r="AP34" s="44"/>
      <c r="AQ34" s="45">
        <v>0</v>
      </c>
      <c r="AR34" s="47">
        <f t="shared" si="3"/>
        <v>0.4</v>
      </c>
      <c r="AS34" s="47"/>
      <c r="AT34" s="48"/>
      <c r="AU34" s="47"/>
      <c r="AV34" s="50">
        <f t="shared" si="4"/>
        <v>1</v>
      </c>
      <c r="AW34" s="49">
        <f t="shared" si="5"/>
        <v>0.6</v>
      </c>
      <c r="AX34" s="38">
        <f t="shared" si="6"/>
        <v>0.2</v>
      </c>
      <c r="AY34" s="39"/>
      <c r="AZ34" s="39"/>
      <c r="BA34" s="49">
        <f t="shared" si="7"/>
        <v>1</v>
      </c>
      <c r="BD34" s="49">
        <f t="shared" si="8"/>
        <v>1</v>
      </c>
    </row>
    <row r="35" spans="1:56" s="38" customFormat="1" ht="28.2" customHeight="1" x14ac:dyDescent="0.3">
      <c r="A35" s="4">
        <v>119981</v>
      </c>
      <c r="B35" s="11" t="s">
        <v>46</v>
      </c>
      <c r="C35" s="4">
        <v>5</v>
      </c>
      <c r="D35" s="12">
        <v>30</v>
      </c>
      <c r="E35" s="12">
        <v>29</v>
      </c>
      <c r="F35" s="12">
        <v>38</v>
      </c>
      <c r="G35" s="12">
        <v>35</v>
      </c>
      <c r="H35" s="12">
        <v>34</v>
      </c>
      <c r="I35" s="12">
        <v>36</v>
      </c>
      <c r="J35" s="12">
        <v>33</v>
      </c>
      <c r="K35" s="9">
        <v>0</v>
      </c>
      <c r="L35" s="13">
        <v>235</v>
      </c>
      <c r="M35" s="4">
        <v>30</v>
      </c>
      <c r="N35" s="4">
        <v>29</v>
      </c>
      <c r="O35" s="4">
        <v>19</v>
      </c>
      <c r="P35" s="4">
        <v>18</v>
      </c>
      <c r="Q35" s="4">
        <v>34</v>
      </c>
      <c r="R35" s="4">
        <v>36</v>
      </c>
      <c r="S35" s="4">
        <v>33</v>
      </c>
      <c r="T35" s="7">
        <v>199</v>
      </c>
      <c r="U35" s="4">
        <v>1</v>
      </c>
      <c r="V35" s="4">
        <v>1</v>
      </c>
      <c r="W35" s="4">
        <v>2</v>
      </c>
      <c r="X35" s="4">
        <v>2</v>
      </c>
      <c r="Y35" s="4">
        <v>1</v>
      </c>
      <c r="Z35" s="4">
        <v>1</v>
      </c>
      <c r="AA35" s="4">
        <v>1</v>
      </c>
      <c r="AB35" s="4">
        <v>0</v>
      </c>
      <c r="AC35" s="14">
        <v>9</v>
      </c>
      <c r="AD35" s="15">
        <v>10.25</v>
      </c>
      <c r="AE35" s="9">
        <v>9</v>
      </c>
      <c r="AF35" s="10">
        <v>1</v>
      </c>
      <c r="AG35" s="10">
        <f>COUNTIF(Transfer!E:E,Elem_!B35)</f>
        <v>0</v>
      </c>
      <c r="AH35" s="10">
        <f>COUNTIF(Transfer!H:H,Elem_!B35)</f>
        <v>0</v>
      </c>
      <c r="AI35" s="37">
        <f t="shared" si="0"/>
        <v>1</v>
      </c>
      <c r="AJ35" s="37">
        <v>0</v>
      </c>
      <c r="AK35" s="37"/>
      <c r="AL35" s="38">
        <f t="shared" si="1"/>
        <v>0</v>
      </c>
      <c r="AN35" s="43">
        <f t="shared" si="2"/>
        <v>0.42</v>
      </c>
      <c r="AO35" s="44"/>
      <c r="AP35" s="44"/>
      <c r="AQ35" s="45">
        <v>0</v>
      </c>
      <c r="AR35" s="47">
        <f t="shared" si="3"/>
        <v>0.4</v>
      </c>
      <c r="AS35" s="47"/>
      <c r="AT35" s="48"/>
      <c r="AU35" s="47"/>
      <c r="AV35" s="50">
        <f t="shared" si="4"/>
        <v>1</v>
      </c>
      <c r="AW35" s="49">
        <f t="shared" si="5"/>
        <v>0.6</v>
      </c>
      <c r="AX35" s="38">
        <f t="shared" si="6"/>
        <v>0.2</v>
      </c>
      <c r="AY35" s="39"/>
      <c r="AZ35" s="39"/>
      <c r="BA35" s="49">
        <f t="shared" si="7"/>
        <v>1</v>
      </c>
      <c r="BD35" s="49">
        <f t="shared" si="8"/>
        <v>1</v>
      </c>
    </row>
    <row r="36" spans="1:56" s="38" customFormat="1" ht="28.2" customHeight="1" x14ac:dyDescent="0.3">
      <c r="A36" s="4">
        <v>119955</v>
      </c>
      <c r="B36" s="11" t="s">
        <v>47</v>
      </c>
      <c r="C36" s="4">
        <v>9</v>
      </c>
      <c r="D36" s="12">
        <v>57</v>
      </c>
      <c r="E36" s="12">
        <v>54</v>
      </c>
      <c r="F36" s="12">
        <v>42</v>
      </c>
      <c r="G36" s="12">
        <v>69</v>
      </c>
      <c r="H36" s="12">
        <v>60</v>
      </c>
      <c r="I36" s="12">
        <v>59</v>
      </c>
      <c r="J36" s="12">
        <v>52</v>
      </c>
      <c r="K36" s="9">
        <v>0</v>
      </c>
      <c r="L36" s="13">
        <v>393</v>
      </c>
      <c r="M36" s="4">
        <v>29</v>
      </c>
      <c r="N36" s="4">
        <v>27</v>
      </c>
      <c r="O36" s="4">
        <v>21</v>
      </c>
      <c r="P36" s="4">
        <v>23</v>
      </c>
      <c r="Q36" s="4">
        <v>30</v>
      </c>
      <c r="R36" s="4">
        <v>30</v>
      </c>
      <c r="S36" s="4">
        <v>26</v>
      </c>
      <c r="T36" s="7">
        <v>186</v>
      </c>
      <c r="U36" s="4">
        <v>2</v>
      </c>
      <c r="V36" s="4">
        <v>2</v>
      </c>
      <c r="W36" s="4">
        <v>2</v>
      </c>
      <c r="X36" s="4">
        <v>3</v>
      </c>
      <c r="Y36" s="4">
        <v>2</v>
      </c>
      <c r="Z36" s="4">
        <v>2</v>
      </c>
      <c r="AA36" s="4">
        <v>2</v>
      </c>
      <c r="AB36" s="4">
        <v>0</v>
      </c>
      <c r="AC36" s="14">
        <v>15</v>
      </c>
      <c r="AD36" s="15">
        <v>17.25</v>
      </c>
      <c r="AE36" s="9">
        <v>16</v>
      </c>
      <c r="AF36" s="10">
        <v>1</v>
      </c>
      <c r="AG36" s="10">
        <f>COUNTIF(Transfer!E:E,Elem_!B36)</f>
        <v>1</v>
      </c>
      <c r="AH36" s="10">
        <f>COUNTIF(Transfer!H:H,Elem_!B36)</f>
        <v>0</v>
      </c>
      <c r="AI36" s="37">
        <f t="shared" si="0"/>
        <v>2</v>
      </c>
      <c r="AJ36" s="37">
        <v>1</v>
      </c>
      <c r="AK36" s="37">
        <v>2</v>
      </c>
      <c r="AL36" s="38">
        <f t="shared" si="1"/>
        <v>1</v>
      </c>
      <c r="AN36" s="43">
        <f t="shared" si="2"/>
        <v>0.84</v>
      </c>
      <c r="AO36" s="44"/>
      <c r="AP36" s="66" t="s">
        <v>197</v>
      </c>
      <c r="AQ36" s="45">
        <v>1</v>
      </c>
      <c r="AR36" s="47">
        <f t="shared" si="3"/>
        <v>0.8</v>
      </c>
      <c r="AS36" s="47"/>
      <c r="AT36" s="48">
        <v>1</v>
      </c>
      <c r="AU36" s="69">
        <v>1</v>
      </c>
      <c r="AV36" s="50">
        <f t="shared" si="4"/>
        <v>1</v>
      </c>
      <c r="AW36" s="49">
        <f t="shared" si="5"/>
        <v>1.2</v>
      </c>
      <c r="AX36" s="38">
        <f t="shared" si="6"/>
        <v>0.2</v>
      </c>
      <c r="AY36" s="39"/>
      <c r="AZ36" s="39"/>
      <c r="BA36" s="49">
        <f t="shared" si="7"/>
        <v>1</v>
      </c>
      <c r="BD36" s="49">
        <f t="shared" si="8"/>
        <v>1</v>
      </c>
    </row>
    <row r="37" spans="1:56" s="38" customFormat="1" ht="28.2" customHeight="1" x14ac:dyDescent="0.3">
      <c r="A37" s="16">
        <v>502529</v>
      </c>
      <c r="B37" s="11" t="s">
        <v>48</v>
      </c>
      <c r="C37" s="4">
        <v>9</v>
      </c>
      <c r="D37" s="12">
        <v>15</v>
      </c>
      <c r="E37" s="12">
        <v>14</v>
      </c>
      <c r="F37" s="12">
        <v>15</v>
      </c>
      <c r="G37" s="12">
        <v>26</v>
      </c>
      <c r="H37" s="12">
        <v>14</v>
      </c>
      <c r="I37" s="12">
        <v>20</v>
      </c>
      <c r="J37" s="12">
        <v>13</v>
      </c>
      <c r="K37" s="9">
        <v>0</v>
      </c>
      <c r="L37" s="13">
        <v>117</v>
      </c>
      <c r="M37" s="4">
        <v>15</v>
      </c>
      <c r="N37" s="4">
        <v>14</v>
      </c>
      <c r="O37" s="4">
        <v>15</v>
      </c>
      <c r="P37" s="4">
        <v>26</v>
      </c>
      <c r="Q37" s="4">
        <v>14</v>
      </c>
      <c r="R37" s="4">
        <v>20</v>
      </c>
      <c r="S37" s="4">
        <v>13</v>
      </c>
      <c r="T37" s="7">
        <v>117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0</v>
      </c>
      <c r="AC37" s="14">
        <v>7</v>
      </c>
      <c r="AD37" s="15">
        <v>8</v>
      </c>
      <c r="AE37" s="9">
        <v>9</v>
      </c>
      <c r="AF37" s="10">
        <v>-1</v>
      </c>
      <c r="AG37" s="10">
        <f>COUNTIF(Transfer!E:E,Elem_!B37)</f>
        <v>0</v>
      </c>
      <c r="AH37" s="10">
        <f>COUNTIF(Transfer!H:H,Elem_!B37)</f>
        <v>0</v>
      </c>
      <c r="AI37" s="37">
        <f t="shared" si="0"/>
        <v>-1</v>
      </c>
      <c r="AJ37" s="37">
        <v>0</v>
      </c>
      <c r="AK37" s="37"/>
      <c r="AL37" s="38">
        <f t="shared" si="1"/>
        <v>0</v>
      </c>
      <c r="AN37" s="43">
        <f t="shared" si="2"/>
        <v>-0.42</v>
      </c>
      <c r="AO37" s="44"/>
      <c r="AP37" s="44"/>
      <c r="AQ37" s="45">
        <v>0</v>
      </c>
      <c r="AR37" s="47">
        <f t="shared" si="3"/>
        <v>-0.4</v>
      </c>
      <c r="AS37" s="47"/>
      <c r="AT37" s="48"/>
      <c r="AU37" s="47"/>
      <c r="AV37" s="70">
        <f t="shared" si="4"/>
        <v>-1</v>
      </c>
      <c r="AW37" s="49">
        <f t="shared" si="5"/>
        <v>-0.6</v>
      </c>
      <c r="AX37" s="75">
        <f t="shared" si="6"/>
        <v>-0.2</v>
      </c>
      <c r="AY37" s="39"/>
      <c r="AZ37" s="39"/>
      <c r="BA37" s="76">
        <f t="shared" si="7"/>
        <v>-1</v>
      </c>
      <c r="BD37" s="99">
        <f t="shared" si="8"/>
        <v>-1</v>
      </c>
    </row>
    <row r="38" spans="1:56" s="38" customFormat="1" ht="28.2" customHeight="1" x14ac:dyDescent="0.3">
      <c r="A38" s="4">
        <v>119979</v>
      </c>
      <c r="B38" s="11" t="s">
        <v>49</v>
      </c>
      <c r="C38" s="4">
        <v>5</v>
      </c>
      <c r="D38" s="12">
        <v>816</v>
      </c>
      <c r="E38" s="12">
        <v>777</v>
      </c>
      <c r="F38" s="12">
        <v>713</v>
      </c>
      <c r="G38" s="12">
        <v>891</v>
      </c>
      <c r="H38" s="12">
        <v>862</v>
      </c>
      <c r="I38" s="12">
        <v>898</v>
      </c>
      <c r="J38" s="12">
        <v>826</v>
      </c>
      <c r="K38" s="9">
        <v>181</v>
      </c>
      <c r="L38" s="13">
        <v>5964</v>
      </c>
      <c r="M38" s="4">
        <v>54</v>
      </c>
      <c r="N38" s="4">
        <v>32</v>
      </c>
      <c r="O38" s="4">
        <v>32</v>
      </c>
      <c r="P38" s="4">
        <v>33</v>
      </c>
      <c r="Q38" s="4">
        <v>41</v>
      </c>
      <c r="R38" s="4">
        <v>43</v>
      </c>
      <c r="S38" s="4">
        <v>41</v>
      </c>
      <c r="T38" s="7">
        <v>276</v>
      </c>
      <c r="U38" s="4">
        <v>15</v>
      </c>
      <c r="V38" s="4">
        <v>24</v>
      </c>
      <c r="W38" s="4">
        <v>22</v>
      </c>
      <c r="X38" s="4">
        <v>27</v>
      </c>
      <c r="Y38" s="4">
        <v>21</v>
      </c>
      <c r="Z38" s="4">
        <v>21</v>
      </c>
      <c r="AA38" s="4">
        <v>20</v>
      </c>
      <c r="AB38" s="4">
        <v>13</v>
      </c>
      <c r="AC38" s="14">
        <v>163</v>
      </c>
      <c r="AD38" s="15">
        <v>185.25</v>
      </c>
      <c r="AE38" s="9">
        <v>171</v>
      </c>
      <c r="AF38" s="10">
        <v>14</v>
      </c>
      <c r="AG38" s="10">
        <f>COUNTIF(Transfer!E:E,Elem_!B38)</f>
        <v>0</v>
      </c>
      <c r="AH38" s="10">
        <f>COUNTIF(Transfer!H:H,Elem_!B38)</f>
        <v>0</v>
      </c>
      <c r="AI38" s="37">
        <f t="shared" si="0"/>
        <v>14</v>
      </c>
      <c r="AJ38" s="37">
        <v>11</v>
      </c>
      <c r="AK38" s="37">
        <v>14</v>
      </c>
      <c r="AL38" s="38">
        <f t="shared" si="1"/>
        <v>6</v>
      </c>
      <c r="AN38" s="43">
        <f t="shared" si="2"/>
        <v>5.88</v>
      </c>
      <c r="AO38" s="44"/>
      <c r="AP38" s="44"/>
      <c r="AQ38" s="45">
        <v>6</v>
      </c>
      <c r="AR38" s="47">
        <f t="shared" si="3"/>
        <v>5.6000000000000005</v>
      </c>
      <c r="AS38" s="47"/>
      <c r="AT38" s="48">
        <v>6</v>
      </c>
      <c r="AU38" s="47">
        <v>6</v>
      </c>
      <c r="AV38" s="50">
        <f t="shared" si="4"/>
        <v>8</v>
      </c>
      <c r="AW38" s="49">
        <f t="shared" si="5"/>
        <v>8.3999999999999986</v>
      </c>
      <c r="AX38" s="38">
        <f t="shared" si="6"/>
        <v>1.6</v>
      </c>
      <c r="AY38" s="39">
        <v>2</v>
      </c>
      <c r="AZ38" s="39">
        <v>2</v>
      </c>
      <c r="BA38" s="49">
        <f t="shared" si="7"/>
        <v>6</v>
      </c>
      <c r="BB38" s="38">
        <v>2</v>
      </c>
      <c r="BC38" s="38">
        <v>2</v>
      </c>
      <c r="BD38" s="49">
        <f t="shared" si="8"/>
        <v>4</v>
      </c>
    </row>
    <row r="39" spans="1:56" s="38" customFormat="1" ht="28.2" customHeight="1" x14ac:dyDescent="0.3">
      <c r="A39" s="4">
        <v>119965</v>
      </c>
      <c r="B39" s="11" t="s">
        <v>50</v>
      </c>
      <c r="C39" s="4">
        <v>1</v>
      </c>
      <c r="D39" s="12">
        <v>138</v>
      </c>
      <c r="E39" s="12">
        <v>131</v>
      </c>
      <c r="F39" s="12">
        <v>109</v>
      </c>
      <c r="G39" s="12">
        <v>135</v>
      </c>
      <c r="H39" s="12">
        <v>115</v>
      </c>
      <c r="I39" s="12">
        <v>144</v>
      </c>
      <c r="J39" s="12">
        <v>109</v>
      </c>
      <c r="K39" s="9">
        <v>0</v>
      </c>
      <c r="L39" s="13">
        <v>881</v>
      </c>
      <c r="M39" s="4">
        <v>46</v>
      </c>
      <c r="N39" s="4">
        <v>33</v>
      </c>
      <c r="O39" s="4">
        <v>27</v>
      </c>
      <c r="P39" s="4">
        <v>27</v>
      </c>
      <c r="Q39" s="4">
        <v>38</v>
      </c>
      <c r="R39" s="4">
        <v>36</v>
      </c>
      <c r="S39" s="4">
        <v>36</v>
      </c>
      <c r="T39" s="7">
        <v>243</v>
      </c>
      <c r="U39" s="4">
        <v>3</v>
      </c>
      <c r="V39" s="4">
        <v>4</v>
      </c>
      <c r="W39" s="4">
        <v>4</v>
      </c>
      <c r="X39" s="4">
        <v>5</v>
      </c>
      <c r="Y39" s="4">
        <v>3</v>
      </c>
      <c r="Z39" s="4">
        <v>4</v>
      </c>
      <c r="AA39" s="4">
        <v>3</v>
      </c>
      <c r="AB39" s="4">
        <v>0</v>
      </c>
      <c r="AC39" s="14">
        <v>26</v>
      </c>
      <c r="AD39" s="15">
        <v>29.75</v>
      </c>
      <c r="AE39" s="9">
        <v>28</v>
      </c>
      <c r="AF39" s="10">
        <v>2</v>
      </c>
      <c r="AG39" s="10">
        <f>COUNTIF(Transfer!E:E,Elem_!B39)</f>
        <v>0</v>
      </c>
      <c r="AH39" s="10">
        <f>COUNTIF(Transfer!H:H,Elem_!B39)</f>
        <v>0</v>
      </c>
      <c r="AI39" s="37">
        <f t="shared" si="0"/>
        <v>2</v>
      </c>
      <c r="AJ39" s="37">
        <v>1</v>
      </c>
      <c r="AK39" s="37">
        <v>2</v>
      </c>
      <c r="AL39" s="38">
        <f t="shared" si="1"/>
        <v>1</v>
      </c>
      <c r="AN39" s="43">
        <f t="shared" si="2"/>
        <v>0.84</v>
      </c>
      <c r="AO39" s="44"/>
      <c r="AP39" s="66" t="s">
        <v>191</v>
      </c>
      <c r="AQ39" s="45">
        <v>1</v>
      </c>
      <c r="AR39" s="47">
        <f t="shared" si="3"/>
        <v>0.8</v>
      </c>
      <c r="AS39" s="47"/>
      <c r="AT39" s="48"/>
      <c r="AU39" s="47"/>
      <c r="AV39" s="50">
        <f t="shared" si="4"/>
        <v>2</v>
      </c>
      <c r="AW39" s="49">
        <f t="shared" si="5"/>
        <v>1.2</v>
      </c>
      <c r="AX39" s="38">
        <f t="shared" si="6"/>
        <v>0.4</v>
      </c>
      <c r="AY39" s="39"/>
      <c r="AZ39" s="39"/>
      <c r="BA39" s="49">
        <f t="shared" si="7"/>
        <v>2</v>
      </c>
      <c r="BD39" s="49">
        <f t="shared" si="8"/>
        <v>2</v>
      </c>
    </row>
    <row r="40" spans="1:56" s="38" customFormat="1" ht="28.2" customHeight="1" x14ac:dyDescent="0.3">
      <c r="A40" s="4">
        <v>119962</v>
      </c>
      <c r="B40" s="11" t="s">
        <v>51</v>
      </c>
      <c r="C40" s="4">
        <v>10</v>
      </c>
      <c r="D40" s="12">
        <v>53</v>
      </c>
      <c r="E40" s="12">
        <v>50</v>
      </c>
      <c r="F40" s="12">
        <v>56</v>
      </c>
      <c r="G40" s="12">
        <v>60</v>
      </c>
      <c r="H40" s="12">
        <v>53</v>
      </c>
      <c r="I40" s="12">
        <v>60</v>
      </c>
      <c r="J40" s="12">
        <v>61</v>
      </c>
      <c r="K40" s="9">
        <v>0</v>
      </c>
      <c r="L40" s="13">
        <v>393</v>
      </c>
      <c r="M40" s="4">
        <v>53</v>
      </c>
      <c r="N40" s="4">
        <v>25</v>
      </c>
      <c r="O40" s="4">
        <v>28</v>
      </c>
      <c r="P40" s="4">
        <v>30</v>
      </c>
      <c r="Q40" s="4">
        <v>27</v>
      </c>
      <c r="R40" s="4">
        <v>30</v>
      </c>
      <c r="S40" s="4">
        <v>31</v>
      </c>
      <c r="T40" s="7">
        <v>224</v>
      </c>
      <c r="U40" s="4">
        <v>1</v>
      </c>
      <c r="V40" s="4">
        <v>2</v>
      </c>
      <c r="W40" s="4">
        <v>2</v>
      </c>
      <c r="X40" s="4">
        <v>2</v>
      </c>
      <c r="Y40" s="4">
        <v>2</v>
      </c>
      <c r="Z40" s="4">
        <v>2</v>
      </c>
      <c r="AA40" s="4">
        <v>2</v>
      </c>
      <c r="AB40" s="4">
        <v>0</v>
      </c>
      <c r="AC40" s="14">
        <v>13</v>
      </c>
      <c r="AD40" s="15">
        <v>15</v>
      </c>
      <c r="AE40" s="9">
        <v>14</v>
      </c>
      <c r="AF40" s="10">
        <v>1</v>
      </c>
      <c r="AG40" s="10">
        <f>COUNTIF(Transfer!E:E,Elem_!B40)</f>
        <v>1</v>
      </c>
      <c r="AH40" s="10">
        <f>COUNTIF(Transfer!H:H,Elem_!B40)</f>
        <v>0</v>
      </c>
      <c r="AI40" s="37">
        <f t="shared" si="0"/>
        <v>2</v>
      </c>
      <c r="AJ40" s="37">
        <v>1</v>
      </c>
      <c r="AK40" s="37">
        <v>2</v>
      </c>
      <c r="AL40" s="38">
        <f t="shared" si="1"/>
        <v>1</v>
      </c>
      <c r="AN40" s="43">
        <f t="shared" si="2"/>
        <v>0.84</v>
      </c>
      <c r="AO40" s="44"/>
      <c r="AP40" s="66" t="s">
        <v>198</v>
      </c>
      <c r="AQ40" s="45">
        <v>1</v>
      </c>
      <c r="AR40" s="47">
        <f t="shared" si="3"/>
        <v>0.8</v>
      </c>
      <c r="AS40" s="47"/>
      <c r="AT40" s="48"/>
      <c r="AU40" s="69">
        <v>1</v>
      </c>
      <c r="AV40" s="50">
        <f t="shared" si="4"/>
        <v>1</v>
      </c>
      <c r="AW40" s="49">
        <f t="shared" si="5"/>
        <v>1.2</v>
      </c>
      <c r="AX40" s="38">
        <f t="shared" si="6"/>
        <v>0.2</v>
      </c>
      <c r="AY40" s="39"/>
      <c r="AZ40" s="39"/>
      <c r="BA40" s="49">
        <f t="shared" si="7"/>
        <v>1</v>
      </c>
      <c r="BD40" s="49">
        <f t="shared" si="8"/>
        <v>1</v>
      </c>
    </row>
    <row r="41" spans="1:56" s="38" customFormat="1" ht="28.2" customHeight="1" x14ac:dyDescent="0.3">
      <c r="A41" s="4">
        <v>119959</v>
      </c>
      <c r="B41" s="11" t="s">
        <v>52</v>
      </c>
      <c r="C41" s="4">
        <v>9</v>
      </c>
      <c r="D41" s="12">
        <v>56</v>
      </c>
      <c r="E41" s="12">
        <v>53</v>
      </c>
      <c r="F41" s="12">
        <v>29</v>
      </c>
      <c r="G41" s="12">
        <v>71</v>
      </c>
      <c r="H41" s="12">
        <v>43</v>
      </c>
      <c r="I41" s="12">
        <v>38</v>
      </c>
      <c r="J41" s="12">
        <v>47</v>
      </c>
      <c r="K41" s="9">
        <v>0</v>
      </c>
      <c r="L41" s="13">
        <v>337</v>
      </c>
      <c r="M41" s="4">
        <v>28</v>
      </c>
      <c r="N41" s="4">
        <v>27</v>
      </c>
      <c r="O41" s="4">
        <v>29</v>
      </c>
      <c r="P41" s="4">
        <v>24</v>
      </c>
      <c r="Q41" s="4">
        <v>43</v>
      </c>
      <c r="R41" s="4">
        <v>38</v>
      </c>
      <c r="S41" s="4">
        <v>24</v>
      </c>
      <c r="T41" s="7">
        <v>213</v>
      </c>
      <c r="U41" s="4">
        <v>2</v>
      </c>
      <c r="V41" s="4">
        <v>2</v>
      </c>
      <c r="W41" s="4">
        <v>1</v>
      </c>
      <c r="X41" s="4">
        <v>3</v>
      </c>
      <c r="Y41" s="4">
        <v>1</v>
      </c>
      <c r="Z41" s="4">
        <v>1</v>
      </c>
      <c r="AA41" s="4">
        <v>2</v>
      </c>
      <c r="AB41" s="4">
        <v>0</v>
      </c>
      <c r="AC41" s="14">
        <v>12</v>
      </c>
      <c r="AD41" s="15">
        <v>13.75</v>
      </c>
      <c r="AE41" s="9">
        <v>12</v>
      </c>
      <c r="AF41" s="10">
        <v>2</v>
      </c>
      <c r="AG41" s="10">
        <f>COUNTIF(Transfer!E:E,Elem_!B41)</f>
        <v>0</v>
      </c>
      <c r="AH41" s="10">
        <f>COUNTIF(Transfer!H:H,Elem_!B41)</f>
        <v>0</v>
      </c>
      <c r="AI41" s="37">
        <f t="shared" si="0"/>
        <v>2</v>
      </c>
      <c r="AJ41" s="37">
        <v>1</v>
      </c>
      <c r="AK41" s="37">
        <v>2</v>
      </c>
      <c r="AL41" s="38">
        <f t="shared" si="1"/>
        <v>1</v>
      </c>
      <c r="AN41" s="43">
        <f t="shared" si="2"/>
        <v>0.84</v>
      </c>
      <c r="AO41" s="44"/>
      <c r="AP41" s="44"/>
      <c r="AQ41" s="45">
        <v>1</v>
      </c>
      <c r="AR41" s="47">
        <f t="shared" si="3"/>
        <v>0.8</v>
      </c>
      <c r="AS41" s="47"/>
      <c r="AT41" s="48">
        <v>1</v>
      </c>
      <c r="AU41" s="47">
        <v>1</v>
      </c>
      <c r="AV41" s="50">
        <f t="shared" si="4"/>
        <v>1</v>
      </c>
      <c r="AW41" s="49">
        <f t="shared" si="5"/>
        <v>1.2</v>
      </c>
      <c r="AX41" s="38">
        <f t="shared" si="6"/>
        <v>0.2</v>
      </c>
      <c r="AY41" s="39"/>
      <c r="AZ41" s="39"/>
      <c r="BA41" s="49">
        <f t="shared" si="7"/>
        <v>1</v>
      </c>
      <c r="BB41" s="38">
        <v>1</v>
      </c>
      <c r="BC41" s="38">
        <v>1</v>
      </c>
      <c r="BD41" s="99">
        <f t="shared" si="8"/>
        <v>0</v>
      </c>
    </row>
    <row r="42" spans="1:56" s="38" customFormat="1" ht="28.2" customHeight="1" x14ac:dyDescent="0.3">
      <c r="A42" s="4">
        <v>119988</v>
      </c>
      <c r="B42" s="11" t="s">
        <v>53</v>
      </c>
      <c r="C42" s="4">
        <v>8</v>
      </c>
      <c r="D42" s="12">
        <v>173</v>
      </c>
      <c r="E42" s="12">
        <v>165</v>
      </c>
      <c r="F42" s="12">
        <v>175</v>
      </c>
      <c r="G42" s="12">
        <v>153</v>
      </c>
      <c r="H42" s="12">
        <v>160</v>
      </c>
      <c r="I42" s="12">
        <v>161</v>
      </c>
      <c r="J42" s="12">
        <v>168</v>
      </c>
      <c r="K42" s="9">
        <v>0</v>
      </c>
      <c r="L42" s="13">
        <v>1155</v>
      </c>
      <c r="M42" s="4">
        <v>43</v>
      </c>
      <c r="N42" s="4">
        <v>33</v>
      </c>
      <c r="O42" s="4">
        <v>29</v>
      </c>
      <c r="P42" s="4">
        <v>31</v>
      </c>
      <c r="Q42" s="4">
        <v>40</v>
      </c>
      <c r="R42" s="4">
        <v>40</v>
      </c>
      <c r="S42" s="4">
        <v>42</v>
      </c>
      <c r="T42" s="7">
        <v>258</v>
      </c>
      <c r="U42" s="4">
        <v>4</v>
      </c>
      <c r="V42" s="4">
        <v>5</v>
      </c>
      <c r="W42" s="4">
        <v>6</v>
      </c>
      <c r="X42" s="4">
        <v>5</v>
      </c>
      <c r="Y42" s="4">
        <v>4</v>
      </c>
      <c r="Z42" s="4">
        <v>4</v>
      </c>
      <c r="AA42" s="4">
        <v>4</v>
      </c>
      <c r="AB42" s="4">
        <v>0</v>
      </c>
      <c r="AC42" s="14">
        <v>32</v>
      </c>
      <c r="AD42" s="15">
        <v>36.25</v>
      </c>
      <c r="AE42" s="9">
        <v>33</v>
      </c>
      <c r="AF42" s="10">
        <v>3</v>
      </c>
      <c r="AG42" s="10">
        <f>COUNTIF(Transfer!E:E,Elem_!B42)</f>
        <v>0</v>
      </c>
      <c r="AH42" s="10">
        <f>COUNTIF(Transfer!H:H,Elem_!B42)</f>
        <v>2</v>
      </c>
      <c r="AI42" s="37">
        <f t="shared" si="0"/>
        <v>1</v>
      </c>
      <c r="AJ42" s="37">
        <v>0</v>
      </c>
      <c r="AK42" s="37"/>
      <c r="AL42" s="38">
        <f t="shared" si="1"/>
        <v>0</v>
      </c>
      <c r="AN42" s="43">
        <f t="shared" si="2"/>
        <v>0.42</v>
      </c>
      <c r="AO42" s="44"/>
      <c r="AP42" s="44"/>
      <c r="AQ42" s="45">
        <v>0</v>
      </c>
      <c r="AR42" s="47">
        <f t="shared" si="3"/>
        <v>0.4</v>
      </c>
      <c r="AS42" s="47"/>
      <c r="AT42" s="48"/>
      <c r="AU42" s="47"/>
      <c r="AV42" s="50">
        <f t="shared" si="4"/>
        <v>1</v>
      </c>
      <c r="AW42" s="49">
        <f t="shared" si="5"/>
        <v>0.6</v>
      </c>
      <c r="AX42" s="38">
        <f t="shared" si="6"/>
        <v>0.2</v>
      </c>
      <c r="AY42" s="39" t="s">
        <v>205</v>
      </c>
      <c r="AZ42" s="39"/>
      <c r="BA42" s="49">
        <f t="shared" si="7"/>
        <v>1</v>
      </c>
      <c r="BD42" s="49">
        <f t="shared" si="8"/>
        <v>1</v>
      </c>
    </row>
    <row r="43" spans="1:56" s="38" customFormat="1" ht="28.2" customHeight="1" x14ac:dyDescent="0.3">
      <c r="A43" s="4">
        <v>119991</v>
      </c>
      <c r="B43" s="11" t="s">
        <v>54</v>
      </c>
      <c r="C43" s="4">
        <v>7</v>
      </c>
      <c r="D43" s="12">
        <v>85</v>
      </c>
      <c r="E43" s="12">
        <v>81</v>
      </c>
      <c r="F43" s="12">
        <v>58</v>
      </c>
      <c r="G43" s="12">
        <v>72</v>
      </c>
      <c r="H43" s="12">
        <v>86</v>
      </c>
      <c r="I43" s="12">
        <v>69</v>
      </c>
      <c r="J43" s="12">
        <v>77</v>
      </c>
      <c r="K43" s="9">
        <v>0</v>
      </c>
      <c r="L43" s="13">
        <v>528</v>
      </c>
      <c r="M43" s="4">
        <v>43</v>
      </c>
      <c r="N43" s="4">
        <v>27</v>
      </c>
      <c r="O43" s="4">
        <v>29</v>
      </c>
      <c r="P43" s="4">
        <v>24</v>
      </c>
      <c r="Q43" s="4">
        <v>43</v>
      </c>
      <c r="R43" s="4">
        <v>35</v>
      </c>
      <c r="S43" s="4">
        <v>39</v>
      </c>
      <c r="T43" s="7">
        <v>240</v>
      </c>
      <c r="U43" s="4">
        <v>2</v>
      </c>
      <c r="V43" s="4">
        <v>3</v>
      </c>
      <c r="W43" s="4">
        <v>2</v>
      </c>
      <c r="X43" s="4">
        <v>3</v>
      </c>
      <c r="Y43" s="4">
        <v>2</v>
      </c>
      <c r="Z43" s="4">
        <v>2</v>
      </c>
      <c r="AA43" s="4">
        <v>2</v>
      </c>
      <c r="AB43" s="4">
        <v>0</v>
      </c>
      <c r="AC43" s="14">
        <v>16</v>
      </c>
      <c r="AD43" s="15">
        <v>18.25</v>
      </c>
      <c r="AE43" s="9">
        <v>19</v>
      </c>
      <c r="AF43" s="10">
        <v>-1</v>
      </c>
      <c r="AG43" s="10">
        <f>COUNTIF(Transfer!E:E,Elem_!B43)</f>
        <v>0</v>
      </c>
      <c r="AH43" s="10">
        <f>COUNTIF(Transfer!H:H,Elem_!B43)</f>
        <v>0</v>
      </c>
      <c r="AI43" s="37">
        <f t="shared" si="0"/>
        <v>-1</v>
      </c>
      <c r="AJ43" s="37">
        <v>0</v>
      </c>
      <c r="AK43" s="37"/>
      <c r="AL43" s="38">
        <f t="shared" si="1"/>
        <v>0</v>
      </c>
      <c r="AN43" s="43">
        <f t="shared" si="2"/>
        <v>-0.42</v>
      </c>
      <c r="AO43" s="44"/>
      <c r="AP43" s="44"/>
      <c r="AQ43" s="45">
        <v>0</v>
      </c>
      <c r="AR43" s="47">
        <f t="shared" si="3"/>
        <v>-0.4</v>
      </c>
      <c r="AS43" s="47"/>
      <c r="AT43" s="48"/>
      <c r="AU43" s="47"/>
      <c r="AV43" s="70">
        <f t="shared" si="4"/>
        <v>-1</v>
      </c>
      <c r="AW43" s="49">
        <f t="shared" si="5"/>
        <v>-0.6</v>
      </c>
      <c r="AX43" s="75">
        <f t="shared" si="6"/>
        <v>-0.2</v>
      </c>
      <c r="AY43" s="39"/>
      <c r="AZ43" s="39"/>
      <c r="BA43" s="76">
        <f t="shared" si="7"/>
        <v>-1</v>
      </c>
      <c r="BD43" s="99">
        <f t="shared" si="8"/>
        <v>-1</v>
      </c>
    </row>
    <row r="44" spans="1:56" s="38" customFormat="1" ht="28.2" customHeight="1" x14ac:dyDescent="0.3">
      <c r="A44" s="4">
        <v>119982</v>
      </c>
      <c r="B44" s="11" t="s">
        <v>55</v>
      </c>
      <c r="C44" s="4">
        <v>5</v>
      </c>
      <c r="D44" s="12">
        <v>134</v>
      </c>
      <c r="E44" s="12">
        <v>128</v>
      </c>
      <c r="F44" s="12">
        <v>120</v>
      </c>
      <c r="G44" s="12">
        <v>143</v>
      </c>
      <c r="H44" s="12">
        <v>130</v>
      </c>
      <c r="I44" s="12">
        <v>150</v>
      </c>
      <c r="J44" s="12">
        <v>153</v>
      </c>
      <c r="K44" s="9">
        <v>0</v>
      </c>
      <c r="L44" s="13">
        <v>958</v>
      </c>
      <c r="M44" s="4">
        <v>45</v>
      </c>
      <c r="N44" s="4">
        <v>32</v>
      </c>
      <c r="O44" s="4">
        <v>30</v>
      </c>
      <c r="P44" s="4">
        <v>29</v>
      </c>
      <c r="Q44" s="4">
        <v>33</v>
      </c>
      <c r="R44" s="4">
        <v>38</v>
      </c>
      <c r="S44" s="4">
        <v>38</v>
      </c>
      <c r="T44" s="7">
        <v>245</v>
      </c>
      <c r="U44" s="4">
        <v>3</v>
      </c>
      <c r="V44" s="4">
        <v>4</v>
      </c>
      <c r="W44" s="4">
        <v>4</v>
      </c>
      <c r="X44" s="4">
        <v>5</v>
      </c>
      <c r="Y44" s="4">
        <v>4</v>
      </c>
      <c r="Z44" s="4">
        <v>4</v>
      </c>
      <c r="AA44" s="4">
        <v>4</v>
      </c>
      <c r="AB44" s="4">
        <v>0</v>
      </c>
      <c r="AC44" s="14">
        <v>28</v>
      </c>
      <c r="AD44" s="15">
        <v>32.25</v>
      </c>
      <c r="AE44" s="9">
        <v>30</v>
      </c>
      <c r="AF44" s="10">
        <v>2</v>
      </c>
      <c r="AG44" s="10">
        <f>COUNTIF(Transfer!E:E,Elem_!B44)</f>
        <v>0</v>
      </c>
      <c r="AH44" s="10">
        <f>COUNTIF(Transfer!H:H,Elem_!B44)</f>
        <v>1</v>
      </c>
      <c r="AI44" s="37">
        <f t="shared" si="0"/>
        <v>1</v>
      </c>
      <c r="AJ44" s="37">
        <v>0</v>
      </c>
      <c r="AK44" s="37"/>
      <c r="AL44" s="38">
        <f t="shared" si="1"/>
        <v>0</v>
      </c>
      <c r="AN44" s="43">
        <f t="shared" si="2"/>
        <v>0.42</v>
      </c>
      <c r="AO44" s="44"/>
      <c r="AP44" s="44"/>
      <c r="AQ44" s="45">
        <v>0</v>
      </c>
      <c r="AR44" s="47">
        <f t="shared" si="3"/>
        <v>0.4</v>
      </c>
      <c r="AS44" s="47"/>
      <c r="AT44" s="48"/>
      <c r="AU44" s="47"/>
      <c r="AV44" s="50">
        <f t="shared" si="4"/>
        <v>1</v>
      </c>
      <c r="AW44" s="49">
        <f t="shared" si="5"/>
        <v>0.6</v>
      </c>
      <c r="AX44" s="38">
        <f t="shared" si="6"/>
        <v>0.2</v>
      </c>
      <c r="AY44" s="39"/>
      <c r="AZ44" s="39"/>
      <c r="BA44" s="49">
        <f t="shared" si="7"/>
        <v>1</v>
      </c>
      <c r="BD44" s="49">
        <f t="shared" si="8"/>
        <v>1</v>
      </c>
    </row>
    <row r="45" spans="1:56" s="38" customFormat="1" ht="28.2" customHeight="1" x14ac:dyDescent="0.3">
      <c r="A45" s="4">
        <v>119967</v>
      </c>
      <c r="B45" s="11" t="s">
        <v>56</v>
      </c>
      <c r="C45" s="4">
        <v>1</v>
      </c>
      <c r="D45" s="12">
        <v>434</v>
      </c>
      <c r="E45" s="12">
        <v>413</v>
      </c>
      <c r="F45" s="12">
        <v>401</v>
      </c>
      <c r="G45" s="12">
        <v>487</v>
      </c>
      <c r="H45" s="12">
        <v>420</v>
      </c>
      <c r="I45" s="12">
        <v>519</v>
      </c>
      <c r="J45" s="12">
        <v>446</v>
      </c>
      <c r="K45" s="9">
        <v>0</v>
      </c>
      <c r="L45" s="13">
        <v>3120</v>
      </c>
      <c r="M45" s="4">
        <v>54</v>
      </c>
      <c r="N45" s="4">
        <v>32</v>
      </c>
      <c r="O45" s="4">
        <v>31</v>
      </c>
      <c r="P45" s="4">
        <v>32</v>
      </c>
      <c r="Q45" s="4">
        <v>42</v>
      </c>
      <c r="R45" s="4">
        <v>40</v>
      </c>
      <c r="S45" s="4">
        <v>41</v>
      </c>
      <c r="T45" s="7">
        <v>272</v>
      </c>
      <c r="U45" s="4">
        <v>8</v>
      </c>
      <c r="V45" s="4">
        <v>13</v>
      </c>
      <c r="W45" s="4">
        <v>13</v>
      </c>
      <c r="X45" s="4">
        <v>15</v>
      </c>
      <c r="Y45" s="4">
        <v>10</v>
      </c>
      <c r="Z45" s="4">
        <v>13</v>
      </c>
      <c r="AA45" s="4">
        <v>11</v>
      </c>
      <c r="AB45" s="4">
        <v>0</v>
      </c>
      <c r="AC45" s="14">
        <v>83</v>
      </c>
      <c r="AD45" s="15">
        <v>95.25</v>
      </c>
      <c r="AE45" s="9">
        <v>91</v>
      </c>
      <c r="AF45" s="10">
        <v>4</v>
      </c>
      <c r="AG45" s="10">
        <f>COUNTIF(Transfer!E:E,Elem_!B45)</f>
        <v>0</v>
      </c>
      <c r="AH45" s="10">
        <f>COUNTIF(Transfer!H:H,Elem_!B45)</f>
        <v>0</v>
      </c>
      <c r="AI45" s="37">
        <f t="shared" si="0"/>
        <v>4</v>
      </c>
      <c r="AJ45" s="37">
        <v>1</v>
      </c>
      <c r="AK45" s="37">
        <v>4</v>
      </c>
      <c r="AL45" s="38">
        <f t="shared" si="1"/>
        <v>2</v>
      </c>
      <c r="AN45" s="43">
        <f t="shared" si="2"/>
        <v>1.68</v>
      </c>
      <c r="AO45" s="44"/>
      <c r="AP45" s="44"/>
      <c r="AQ45" s="45">
        <v>2</v>
      </c>
      <c r="AR45" s="47">
        <f t="shared" si="3"/>
        <v>1.6</v>
      </c>
      <c r="AS45" s="47"/>
      <c r="AT45" s="48">
        <v>1</v>
      </c>
      <c r="AU45" s="69">
        <v>1</v>
      </c>
      <c r="AV45" s="50">
        <f t="shared" si="4"/>
        <v>3</v>
      </c>
      <c r="AW45" s="49">
        <f t="shared" si="5"/>
        <v>2.4</v>
      </c>
      <c r="AX45" s="38">
        <f t="shared" si="6"/>
        <v>0.60000000000000009</v>
      </c>
      <c r="AY45" s="39">
        <v>1</v>
      </c>
      <c r="AZ45" s="39">
        <v>1</v>
      </c>
      <c r="BA45" s="49">
        <f t="shared" si="7"/>
        <v>2</v>
      </c>
      <c r="BD45" s="49">
        <f t="shared" si="8"/>
        <v>2</v>
      </c>
    </row>
    <row r="46" spans="1:56" s="38" customFormat="1" ht="28.2" customHeight="1" x14ac:dyDescent="0.3">
      <c r="A46" s="4">
        <v>119954</v>
      </c>
      <c r="B46" s="11" t="s">
        <v>57</v>
      </c>
      <c r="C46" s="4">
        <v>10</v>
      </c>
      <c r="D46" s="12">
        <v>53</v>
      </c>
      <c r="E46" s="12">
        <v>50</v>
      </c>
      <c r="F46" s="12">
        <v>41</v>
      </c>
      <c r="G46" s="12">
        <v>45</v>
      </c>
      <c r="H46" s="12">
        <v>49</v>
      </c>
      <c r="I46" s="12">
        <v>48</v>
      </c>
      <c r="J46" s="12">
        <v>34</v>
      </c>
      <c r="K46" s="9">
        <v>0</v>
      </c>
      <c r="L46" s="13">
        <v>320</v>
      </c>
      <c r="M46" s="4">
        <v>53</v>
      </c>
      <c r="N46" s="4">
        <v>25</v>
      </c>
      <c r="O46" s="4">
        <v>21</v>
      </c>
      <c r="P46" s="4">
        <v>23</v>
      </c>
      <c r="Q46" s="4">
        <v>25</v>
      </c>
      <c r="R46" s="4">
        <v>24</v>
      </c>
      <c r="S46" s="4">
        <v>34</v>
      </c>
      <c r="T46" s="7">
        <v>205</v>
      </c>
      <c r="U46" s="4">
        <v>1</v>
      </c>
      <c r="V46" s="4">
        <v>2</v>
      </c>
      <c r="W46" s="4">
        <v>2</v>
      </c>
      <c r="X46" s="4">
        <v>2</v>
      </c>
      <c r="Y46" s="4">
        <v>2</v>
      </c>
      <c r="Z46" s="4">
        <v>2</v>
      </c>
      <c r="AA46" s="4">
        <v>1</v>
      </c>
      <c r="AB46" s="4">
        <v>0</v>
      </c>
      <c r="AC46" s="14">
        <v>12</v>
      </c>
      <c r="AD46" s="15">
        <v>13.75</v>
      </c>
      <c r="AE46" s="9">
        <v>13</v>
      </c>
      <c r="AF46" s="10">
        <v>1</v>
      </c>
      <c r="AG46" s="10">
        <f>COUNTIF(Transfer!E:E,Elem_!B46)</f>
        <v>0</v>
      </c>
      <c r="AH46" s="10">
        <f>COUNTIF(Transfer!H:H,Elem_!B46)</f>
        <v>1</v>
      </c>
      <c r="AI46" s="37">
        <f t="shared" si="0"/>
        <v>0</v>
      </c>
      <c r="AJ46" s="37">
        <v>0</v>
      </c>
      <c r="AK46" s="37"/>
      <c r="AL46" s="38">
        <f t="shared" si="1"/>
        <v>0</v>
      </c>
      <c r="AN46" s="43">
        <f t="shared" si="2"/>
        <v>0</v>
      </c>
      <c r="AO46" s="44"/>
      <c r="AP46" s="44"/>
      <c r="AQ46" s="45">
        <v>0</v>
      </c>
      <c r="AR46" s="47">
        <f t="shared" si="3"/>
        <v>0</v>
      </c>
      <c r="AS46" s="47"/>
      <c r="AT46" s="48"/>
      <c r="AU46" s="47"/>
      <c r="AV46" s="70">
        <f t="shared" si="4"/>
        <v>0</v>
      </c>
      <c r="AW46" s="76">
        <f t="shared" si="5"/>
        <v>0</v>
      </c>
      <c r="AX46" s="75">
        <f t="shared" si="6"/>
        <v>0</v>
      </c>
      <c r="AY46" s="39"/>
      <c r="AZ46" s="39"/>
      <c r="BA46" s="76">
        <f t="shared" si="7"/>
        <v>0</v>
      </c>
      <c r="BD46" s="99">
        <f t="shared" si="8"/>
        <v>0</v>
      </c>
    </row>
    <row r="47" spans="1:56" s="38" customFormat="1" ht="28.2" customHeight="1" x14ac:dyDescent="0.3">
      <c r="A47" s="4">
        <v>119987</v>
      </c>
      <c r="B47" s="11" t="s">
        <v>58</v>
      </c>
      <c r="C47" s="4">
        <v>7</v>
      </c>
      <c r="D47" s="12">
        <v>196</v>
      </c>
      <c r="E47" s="12">
        <v>187</v>
      </c>
      <c r="F47" s="12">
        <v>169</v>
      </c>
      <c r="G47" s="12">
        <v>171</v>
      </c>
      <c r="H47" s="12">
        <v>199</v>
      </c>
      <c r="I47" s="12">
        <v>214</v>
      </c>
      <c r="J47" s="12">
        <v>198</v>
      </c>
      <c r="K47" s="9">
        <v>0</v>
      </c>
      <c r="L47" s="13">
        <v>1334</v>
      </c>
      <c r="M47" s="4">
        <v>49</v>
      </c>
      <c r="N47" s="4">
        <v>31</v>
      </c>
      <c r="O47" s="4">
        <v>28</v>
      </c>
      <c r="P47" s="4">
        <v>29</v>
      </c>
      <c r="Q47" s="4">
        <v>40</v>
      </c>
      <c r="R47" s="4">
        <v>43</v>
      </c>
      <c r="S47" s="4">
        <v>40</v>
      </c>
      <c r="T47" s="7">
        <v>260</v>
      </c>
      <c r="U47" s="4">
        <v>4</v>
      </c>
      <c r="V47" s="4">
        <v>6</v>
      </c>
      <c r="W47" s="4">
        <v>6</v>
      </c>
      <c r="X47" s="4">
        <v>6</v>
      </c>
      <c r="Y47" s="4">
        <v>5</v>
      </c>
      <c r="Z47" s="4">
        <v>5</v>
      </c>
      <c r="AA47" s="4">
        <v>5</v>
      </c>
      <c r="AB47" s="4">
        <v>0</v>
      </c>
      <c r="AC47" s="14">
        <v>37</v>
      </c>
      <c r="AD47" s="15">
        <v>42.25</v>
      </c>
      <c r="AE47" s="9">
        <v>43</v>
      </c>
      <c r="AF47" s="10">
        <v>-1</v>
      </c>
      <c r="AG47" s="10">
        <f>COUNTIF(Transfer!E:E,Elem_!B47)</f>
        <v>0</v>
      </c>
      <c r="AH47" s="10">
        <f>COUNTIF(Transfer!H:H,Elem_!B47)</f>
        <v>0</v>
      </c>
      <c r="AI47" s="37">
        <f t="shared" si="0"/>
        <v>-1</v>
      </c>
      <c r="AJ47" s="37">
        <v>0</v>
      </c>
      <c r="AK47" s="37"/>
      <c r="AL47" s="38">
        <f t="shared" si="1"/>
        <v>0</v>
      </c>
      <c r="AN47" s="43">
        <f t="shared" si="2"/>
        <v>-0.42</v>
      </c>
      <c r="AO47" s="44"/>
      <c r="AP47" s="44"/>
      <c r="AQ47" s="45">
        <v>0</v>
      </c>
      <c r="AR47" s="47">
        <f t="shared" si="3"/>
        <v>-0.4</v>
      </c>
      <c r="AS47" s="47"/>
      <c r="AT47" s="48"/>
      <c r="AU47" s="47"/>
      <c r="AV47" s="70">
        <v>0</v>
      </c>
      <c r="AW47" s="76">
        <f t="shared" si="5"/>
        <v>-0.6</v>
      </c>
      <c r="AX47" s="75">
        <f t="shared" si="6"/>
        <v>0</v>
      </c>
      <c r="AY47" s="39"/>
      <c r="AZ47" s="39"/>
      <c r="BA47" s="76">
        <f t="shared" si="7"/>
        <v>0</v>
      </c>
      <c r="BD47" s="99">
        <f t="shared" si="8"/>
        <v>0</v>
      </c>
    </row>
    <row r="48" spans="1:56" s="38" customFormat="1" ht="28.2" customHeight="1" x14ac:dyDescent="0.3">
      <c r="A48" s="4">
        <v>119950</v>
      </c>
      <c r="B48" s="11" t="s">
        <v>59</v>
      </c>
      <c r="C48" s="4">
        <v>10</v>
      </c>
      <c r="D48" s="12">
        <v>110</v>
      </c>
      <c r="E48" s="12">
        <v>105</v>
      </c>
      <c r="F48" s="12">
        <v>71</v>
      </c>
      <c r="G48" s="12">
        <v>93</v>
      </c>
      <c r="H48" s="12">
        <v>94</v>
      </c>
      <c r="I48" s="12">
        <v>71</v>
      </c>
      <c r="J48" s="12">
        <v>90</v>
      </c>
      <c r="K48" s="9">
        <v>0</v>
      </c>
      <c r="L48" s="13">
        <v>634</v>
      </c>
      <c r="M48" s="4">
        <v>55</v>
      </c>
      <c r="N48" s="4">
        <v>26</v>
      </c>
      <c r="O48" s="4">
        <v>24</v>
      </c>
      <c r="P48" s="4">
        <v>31</v>
      </c>
      <c r="Q48" s="4">
        <v>31</v>
      </c>
      <c r="R48" s="4">
        <v>36</v>
      </c>
      <c r="S48" s="4">
        <v>30</v>
      </c>
      <c r="T48" s="7">
        <v>233</v>
      </c>
      <c r="U48" s="4">
        <v>2</v>
      </c>
      <c r="V48" s="4">
        <v>4</v>
      </c>
      <c r="W48" s="4">
        <v>3</v>
      </c>
      <c r="X48" s="4">
        <v>3</v>
      </c>
      <c r="Y48" s="4">
        <v>3</v>
      </c>
      <c r="Z48" s="4">
        <v>2</v>
      </c>
      <c r="AA48" s="4">
        <v>3</v>
      </c>
      <c r="AB48" s="4">
        <v>0</v>
      </c>
      <c r="AC48" s="14">
        <v>20</v>
      </c>
      <c r="AD48" s="15">
        <v>22.75</v>
      </c>
      <c r="AE48" s="9">
        <v>21</v>
      </c>
      <c r="AF48" s="10">
        <v>2</v>
      </c>
      <c r="AG48" s="10">
        <f>COUNTIF(Transfer!E:E,Elem_!B48)</f>
        <v>0</v>
      </c>
      <c r="AH48" s="10">
        <f>COUNTIF(Transfer!H:H,Elem_!B48)</f>
        <v>0</v>
      </c>
      <c r="AI48" s="37">
        <f t="shared" si="0"/>
        <v>2</v>
      </c>
      <c r="AJ48" s="37">
        <v>1</v>
      </c>
      <c r="AK48" s="37">
        <v>2</v>
      </c>
      <c r="AL48" s="38">
        <f t="shared" si="1"/>
        <v>1</v>
      </c>
      <c r="AN48" s="43">
        <f t="shared" si="2"/>
        <v>0.84</v>
      </c>
      <c r="AO48" s="44"/>
      <c r="AP48" s="44"/>
      <c r="AQ48" s="45">
        <v>1</v>
      </c>
      <c r="AR48" s="47">
        <f t="shared" si="3"/>
        <v>0.8</v>
      </c>
      <c r="AS48" s="47"/>
      <c r="AT48" s="48">
        <v>1</v>
      </c>
      <c r="AU48" s="47">
        <v>1</v>
      </c>
      <c r="AV48" s="50">
        <f t="shared" si="4"/>
        <v>1</v>
      </c>
      <c r="AW48" s="49">
        <f t="shared" si="5"/>
        <v>1.2</v>
      </c>
      <c r="AX48" s="38">
        <f t="shared" si="6"/>
        <v>0.2</v>
      </c>
      <c r="AY48" s="39"/>
      <c r="AZ48" s="39"/>
      <c r="BA48" s="49">
        <f t="shared" si="7"/>
        <v>1</v>
      </c>
      <c r="BD48" s="49">
        <f t="shared" si="8"/>
        <v>1</v>
      </c>
    </row>
    <row r="49" spans="1:56" s="38" customFormat="1" ht="28.2" customHeight="1" x14ac:dyDescent="0.3">
      <c r="A49" s="4">
        <v>119961</v>
      </c>
      <c r="B49" s="11" t="s">
        <v>60</v>
      </c>
      <c r="C49" s="4">
        <v>10</v>
      </c>
      <c r="D49" s="12">
        <v>93</v>
      </c>
      <c r="E49" s="12">
        <v>89</v>
      </c>
      <c r="F49" s="12">
        <v>65</v>
      </c>
      <c r="G49" s="12">
        <v>76</v>
      </c>
      <c r="H49" s="12">
        <v>87</v>
      </c>
      <c r="I49" s="12">
        <v>77</v>
      </c>
      <c r="J49" s="12">
        <v>82</v>
      </c>
      <c r="K49" s="9">
        <v>13</v>
      </c>
      <c r="L49" s="13">
        <v>582</v>
      </c>
      <c r="M49" s="4">
        <v>47</v>
      </c>
      <c r="N49" s="4">
        <v>30</v>
      </c>
      <c r="O49" s="4">
        <v>33</v>
      </c>
      <c r="P49" s="4">
        <v>25</v>
      </c>
      <c r="Q49" s="4">
        <v>29</v>
      </c>
      <c r="R49" s="4">
        <v>39</v>
      </c>
      <c r="S49" s="4">
        <v>41</v>
      </c>
      <c r="T49" s="7">
        <v>244</v>
      </c>
      <c r="U49" s="4">
        <v>2</v>
      </c>
      <c r="V49" s="4">
        <v>3</v>
      </c>
      <c r="W49" s="4">
        <v>2</v>
      </c>
      <c r="X49" s="4">
        <v>3</v>
      </c>
      <c r="Y49" s="4">
        <v>3</v>
      </c>
      <c r="Z49" s="4">
        <v>2</v>
      </c>
      <c r="AA49" s="4">
        <v>2</v>
      </c>
      <c r="AB49" s="4">
        <v>1</v>
      </c>
      <c r="AC49" s="14">
        <v>18</v>
      </c>
      <c r="AD49" s="15">
        <v>20.5</v>
      </c>
      <c r="AE49" s="9">
        <v>18</v>
      </c>
      <c r="AF49" s="10">
        <v>3</v>
      </c>
      <c r="AG49" s="10">
        <f>COUNTIF(Transfer!E:E,Elem_!B49)</f>
        <v>1</v>
      </c>
      <c r="AH49" s="10">
        <f>COUNTIF(Transfer!H:H,Elem_!B49)</f>
        <v>0</v>
      </c>
      <c r="AI49" s="37">
        <f t="shared" si="0"/>
        <v>4</v>
      </c>
      <c r="AJ49" s="37">
        <v>1</v>
      </c>
      <c r="AK49" s="37">
        <v>4</v>
      </c>
      <c r="AL49" s="38">
        <f t="shared" si="1"/>
        <v>2</v>
      </c>
      <c r="AN49" s="43">
        <f t="shared" si="2"/>
        <v>1.68</v>
      </c>
      <c r="AO49" s="44"/>
      <c r="AP49" s="66" t="s">
        <v>193</v>
      </c>
      <c r="AQ49" s="45">
        <v>2</v>
      </c>
      <c r="AR49" s="47">
        <f t="shared" si="3"/>
        <v>1.6</v>
      </c>
      <c r="AS49" s="47"/>
      <c r="AT49" s="48">
        <v>1</v>
      </c>
      <c r="AU49" s="47"/>
      <c r="AV49" s="50">
        <f t="shared" si="4"/>
        <v>4</v>
      </c>
      <c r="AW49" s="49">
        <f t="shared" si="5"/>
        <v>2.4</v>
      </c>
      <c r="AX49" s="38">
        <f t="shared" si="6"/>
        <v>0.8</v>
      </c>
      <c r="AY49" s="39">
        <v>1</v>
      </c>
      <c r="AZ49" s="39">
        <v>1</v>
      </c>
      <c r="BA49" s="49">
        <f t="shared" si="7"/>
        <v>3</v>
      </c>
      <c r="BD49" s="49">
        <f t="shared" si="8"/>
        <v>3</v>
      </c>
    </row>
    <row r="50" spans="1:56" s="38" customFormat="1" ht="28.2" customHeight="1" x14ac:dyDescent="0.3">
      <c r="A50" s="4"/>
      <c r="B50" s="11"/>
      <c r="C50" s="4"/>
      <c r="D50" s="12"/>
      <c r="E50" s="12"/>
      <c r="F50" s="12"/>
      <c r="G50" s="12"/>
      <c r="H50" s="12"/>
      <c r="I50" s="12"/>
      <c r="J50" s="12"/>
      <c r="K50" s="9"/>
      <c r="L50" s="13"/>
      <c r="M50" s="4"/>
      <c r="N50" s="4"/>
      <c r="O50" s="4"/>
      <c r="P50" s="4"/>
      <c r="Q50" s="4"/>
      <c r="R50" s="4"/>
      <c r="S50" s="4"/>
      <c r="T50" s="7"/>
      <c r="U50" s="4"/>
      <c r="V50" s="4"/>
      <c r="W50" s="4"/>
      <c r="X50" s="4"/>
      <c r="Y50" s="4"/>
      <c r="Z50" s="4"/>
      <c r="AA50" s="4"/>
      <c r="AB50" s="4"/>
      <c r="AC50" s="14"/>
      <c r="AD50" s="15"/>
      <c r="AE50" s="9"/>
      <c r="AF50" s="10"/>
      <c r="AG50" s="10"/>
      <c r="AH50" s="10"/>
      <c r="AI50" s="37"/>
      <c r="AJ50" s="37"/>
      <c r="AK50" s="37"/>
      <c r="AN50" s="43"/>
      <c r="AO50" s="44"/>
      <c r="AP50" s="66" t="s">
        <v>199</v>
      </c>
      <c r="AQ50" s="45"/>
      <c r="AR50" s="47"/>
      <c r="AS50" s="47"/>
      <c r="AT50" s="48"/>
      <c r="AU50" s="47"/>
      <c r="AV50" s="70">
        <f t="shared" si="4"/>
        <v>0</v>
      </c>
      <c r="AW50" s="76">
        <f t="shared" si="5"/>
        <v>0</v>
      </c>
      <c r="AX50" s="75">
        <f t="shared" si="6"/>
        <v>0</v>
      </c>
      <c r="AY50" s="39"/>
      <c r="AZ50" s="39"/>
      <c r="BA50" s="76">
        <f t="shared" si="7"/>
        <v>0</v>
      </c>
      <c r="BD50" s="99">
        <f t="shared" si="8"/>
        <v>0</v>
      </c>
    </row>
    <row r="51" spans="1:56" s="38" customFormat="1" ht="28.2" customHeight="1" x14ac:dyDescent="0.3">
      <c r="A51" s="4">
        <v>119977</v>
      </c>
      <c r="B51" s="11" t="s">
        <v>61</v>
      </c>
      <c r="C51" s="4">
        <v>6</v>
      </c>
      <c r="D51" s="12">
        <v>279</v>
      </c>
      <c r="E51" s="12">
        <v>266</v>
      </c>
      <c r="F51" s="12">
        <v>249</v>
      </c>
      <c r="G51" s="12">
        <v>279</v>
      </c>
      <c r="H51" s="12">
        <v>220</v>
      </c>
      <c r="I51" s="12">
        <v>323</v>
      </c>
      <c r="J51" s="12">
        <v>283</v>
      </c>
      <c r="K51" s="9">
        <v>0</v>
      </c>
      <c r="L51" s="13">
        <v>1899</v>
      </c>
      <c r="M51" s="4">
        <v>47</v>
      </c>
      <c r="N51" s="4">
        <v>30</v>
      </c>
      <c r="O51" s="4">
        <v>31</v>
      </c>
      <c r="P51" s="4">
        <v>31</v>
      </c>
      <c r="Q51" s="4">
        <v>37</v>
      </c>
      <c r="R51" s="4">
        <v>40</v>
      </c>
      <c r="S51" s="4">
        <v>40</v>
      </c>
      <c r="T51" s="7">
        <v>256</v>
      </c>
      <c r="U51" s="4">
        <v>6</v>
      </c>
      <c r="V51" s="4">
        <v>9</v>
      </c>
      <c r="W51" s="4">
        <v>8</v>
      </c>
      <c r="X51" s="4">
        <v>9</v>
      </c>
      <c r="Y51" s="4">
        <v>6</v>
      </c>
      <c r="Z51" s="4">
        <v>8</v>
      </c>
      <c r="AA51" s="4">
        <v>7</v>
      </c>
      <c r="AB51" s="4">
        <v>0</v>
      </c>
      <c r="AC51" s="14">
        <v>53</v>
      </c>
      <c r="AD51" s="15">
        <v>60.5</v>
      </c>
      <c r="AE51" s="9">
        <v>57</v>
      </c>
      <c r="AF51" s="10">
        <v>4</v>
      </c>
      <c r="AG51" s="10">
        <f>COUNTIF(Transfer!E:E,Elem_!B51)</f>
        <v>0</v>
      </c>
      <c r="AH51" s="10">
        <f>COUNTIF(Transfer!H:H,Elem_!B51)</f>
        <v>1</v>
      </c>
      <c r="AI51" s="37">
        <f t="shared" si="0"/>
        <v>3</v>
      </c>
      <c r="AJ51" s="37">
        <v>1</v>
      </c>
      <c r="AK51" s="37">
        <v>3</v>
      </c>
      <c r="AL51" s="38">
        <f t="shared" si="1"/>
        <v>1</v>
      </c>
      <c r="AN51" s="43">
        <f t="shared" si="2"/>
        <v>1.26</v>
      </c>
      <c r="AO51" s="44"/>
      <c r="AP51" s="66" t="s">
        <v>191</v>
      </c>
      <c r="AQ51" s="45">
        <v>0</v>
      </c>
      <c r="AR51" s="47">
        <f t="shared" si="3"/>
        <v>1.2000000000000002</v>
      </c>
      <c r="AS51" s="47"/>
      <c r="AT51" s="48">
        <v>1</v>
      </c>
      <c r="AU51" s="47"/>
      <c r="AV51" s="50">
        <f t="shared" si="4"/>
        <v>3</v>
      </c>
      <c r="AW51" s="49">
        <f t="shared" si="5"/>
        <v>1.7999999999999998</v>
      </c>
      <c r="AX51" s="38">
        <f t="shared" si="6"/>
        <v>0.60000000000000009</v>
      </c>
      <c r="AY51" s="39"/>
      <c r="AZ51" s="39"/>
      <c r="BA51" s="49">
        <f t="shared" si="7"/>
        <v>3</v>
      </c>
      <c r="BD51" s="49">
        <f t="shared" si="8"/>
        <v>3</v>
      </c>
    </row>
    <row r="52" spans="1:56" s="38" customFormat="1" ht="28.2" customHeight="1" x14ac:dyDescent="0.3">
      <c r="A52" s="4">
        <v>119966</v>
      </c>
      <c r="B52" s="11" t="s">
        <v>62</v>
      </c>
      <c r="C52" s="4">
        <v>1</v>
      </c>
      <c r="D52" s="12">
        <v>245</v>
      </c>
      <c r="E52" s="12">
        <v>233</v>
      </c>
      <c r="F52" s="12">
        <v>207</v>
      </c>
      <c r="G52" s="12">
        <v>212</v>
      </c>
      <c r="H52" s="12">
        <v>218</v>
      </c>
      <c r="I52" s="12">
        <v>251</v>
      </c>
      <c r="J52" s="12">
        <v>249</v>
      </c>
      <c r="K52" s="9">
        <v>0</v>
      </c>
      <c r="L52" s="13">
        <v>1615</v>
      </c>
      <c r="M52" s="4">
        <v>49</v>
      </c>
      <c r="N52" s="4">
        <v>29</v>
      </c>
      <c r="O52" s="4">
        <v>30</v>
      </c>
      <c r="P52" s="4">
        <v>30</v>
      </c>
      <c r="Q52" s="4">
        <v>36</v>
      </c>
      <c r="R52" s="4">
        <v>42</v>
      </c>
      <c r="S52" s="4">
        <v>42</v>
      </c>
      <c r="T52" s="7">
        <v>258</v>
      </c>
      <c r="U52" s="4">
        <v>5</v>
      </c>
      <c r="V52" s="4">
        <v>8</v>
      </c>
      <c r="W52" s="4">
        <v>7</v>
      </c>
      <c r="X52" s="4">
        <v>7</v>
      </c>
      <c r="Y52" s="4">
        <v>6</v>
      </c>
      <c r="Z52" s="4">
        <v>6</v>
      </c>
      <c r="AA52" s="4">
        <v>6</v>
      </c>
      <c r="AB52" s="4">
        <v>0</v>
      </c>
      <c r="AC52" s="14">
        <v>45</v>
      </c>
      <c r="AD52" s="15">
        <v>51.25</v>
      </c>
      <c r="AE52" s="9">
        <v>46</v>
      </c>
      <c r="AF52" s="10">
        <v>5</v>
      </c>
      <c r="AG52" s="10">
        <f>COUNTIF(Transfer!E:E,Elem_!B52)</f>
        <v>0</v>
      </c>
      <c r="AH52" s="10">
        <f>COUNTIF(Transfer!H:H,Elem_!B52)</f>
        <v>0</v>
      </c>
      <c r="AI52" s="37">
        <f t="shared" si="0"/>
        <v>5</v>
      </c>
      <c r="AJ52" s="37">
        <v>2</v>
      </c>
      <c r="AK52" s="37">
        <v>5</v>
      </c>
      <c r="AL52" s="38">
        <f t="shared" si="1"/>
        <v>2</v>
      </c>
      <c r="AN52" s="43">
        <f t="shared" si="2"/>
        <v>2.1</v>
      </c>
      <c r="AO52" s="44"/>
      <c r="AP52" s="44"/>
      <c r="AQ52" s="45">
        <v>2</v>
      </c>
      <c r="AR52" s="47">
        <f t="shared" si="3"/>
        <v>2</v>
      </c>
      <c r="AS52" s="47"/>
      <c r="AT52" s="48">
        <v>2</v>
      </c>
      <c r="AU52" s="47">
        <v>2</v>
      </c>
      <c r="AV52" s="50">
        <f t="shared" si="4"/>
        <v>3</v>
      </c>
      <c r="AW52" s="49">
        <f t="shared" si="5"/>
        <v>3</v>
      </c>
      <c r="AX52" s="38">
        <f t="shared" si="6"/>
        <v>0.60000000000000009</v>
      </c>
      <c r="AY52" s="39"/>
      <c r="AZ52" s="39"/>
      <c r="BA52" s="49">
        <f t="shared" si="7"/>
        <v>3</v>
      </c>
      <c r="BD52" s="49">
        <f t="shared" si="8"/>
        <v>3</v>
      </c>
    </row>
    <row r="53" spans="1:56" s="38" customFormat="1" ht="28.2" customHeight="1" x14ac:dyDescent="0.3">
      <c r="A53" s="51">
        <v>119989</v>
      </c>
      <c r="B53" s="52" t="s">
        <v>63</v>
      </c>
      <c r="C53" s="51">
        <v>7</v>
      </c>
      <c r="D53" s="53">
        <v>287</v>
      </c>
      <c r="E53" s="53">
        <v>273</v>
      </c>
      <c r="F53" s="53">
        <v>301</v>
      </c>
      <c r="G53" s="53">
        <v>342</v>
      </c>
      <c r="H53" s="53">
        <v>319</v>
      </c>
      <c r="I53" s="53">
        <v>350</v>
      </c>
      <c r="J53" s="53">
        <v>345</v>
      </c>
      <c r="K53" s="54">
        <v>168</v>
      </c>
      <c r="L53" s="55">
        <v>2385</v>
      </c>
      <c r="M53" s="51">
        <v>48</v>
      </c>
      <c r="N53" s="51">
        <v>30</v>
      </c>
      <c r="O53" s="51">
        <v>30</v>
      </c>
      <c r="P53" s="51">
        <v>31</v>
      </c>
      <c r="Q53" s="51">
        <v>40</v>
      </c>
      <c r="R53" s="51">
        <v>39</v>
      </c>
      <c r="S53" s="51">
        <v>38</v>
      </c>
      <c r="T53" s="56">
        <v>256</v>
      </c>
      <c r="U53" s="51">
        <v>6</v>
      </c>
      <c r="V53" s="51">
        <v>9</v>
      </c>
      <c r="W53" s="51">
        <v>10</v>
      </c>
      <c r="X53" s="51">
        <v>11</v>
      </c>
      <c r="Y53" s="51">
        <v>8</v>
      </c>
      <c r="Z53" s="51">
        <v>9</v>
      </c>
      <c r="AA53" s="51">
        <v>9</v>
      </c>
      <c r="AB53" s="51">
        <v>12</v>
      </c>
      <c r="AC53" s="57">
        <v>74</v>
      </c>
      <c r="AD53" s="58">
        <v>83.25</v>
      </c>
      <c r="AE53" s="54">
        <v>81</v>
      </c>
      <c r="AF53" s="59">
        <v>2</v>
      </c>
      <c r="AG53" s="59">
        <f>COUNTIF(Transfer!E:E,Elem_!B53)</f>
        <v>1</v>
      </c>
      <c r="AH53" s="59">
        <f>COUNTIF(Transfer!H:H,Elem_!B53)</f>
        <v>1</v>
      </c>
      <c r="AI53" s="60">
        <f t="shared" si="0"/>
        <v>2</v>
      </c>
      <c r="AJ53" s="60">
        <v>1</v>
      </c>
      <c r="AK53" s="60">
        <v>2</v>
      </c>
      <c r="AL53" s="38">
        <f t="shared" si="1"/>
        <v>1</v>
      </c>
      <c r="AN53" s="61">
        <f t="shared" si="2"/>
        <v>0.84</v>
      </c>
      <c r="AO53" s="62"/>
      <c r="AP53" s="67" t="s">
        <v>192</v>
      </c>
      <c r="AQ53" s="63">
        <v>2</v>
      </c>
      <c r="AR53" s="64">
        <f t="shared" si="3"/>
        <v>0.8</v>
      </c>
      <c r="AS53" s="47"/>
      <c r="AT53" s="65">
        <v>1</v>
      </c>
      <c r="AU53" s="64">
        <v>1</v>
      </c>
      <c r="AV53" s="50">
        <f t="shared" si="4"/>
        <v>1</v>
      </c>
      <c r="AW53" s="49">
        <f t="shared" si="5"/>
        <v>1.2</v>
      </c>
      <c r="AX53" s="38">
        <f t="shared" si="6"/>
        <v>0.2</v>
      </c>
      <c r="AY53" s="39"/>
      <c r="AZ53" s="39"/>
      <c r="BA53" s="49">
        <f t="shared" si="7"/>
        <v>1</v>
      </c>
      <c r="BD53" s="49">
        <f t="shared" si="8"/>
        <v>1</v>
      </c>
    </row>
    <row r="54" spans="1:56" s="71" customFormat="1" ht="28.2" customHeight="1" x14ac:dyDescent="0.3">
      <c r="A54" s="4"/>
      <c r="B54" s="11"/>
      <c r="C54" s="4"/>
      <c r="D54" s="12"/>
      <c r="E54" s="12"/>
      <c r="F54" s="12"/>
      <c r="G54" s="12"/>
      <c r="H54" s="12"/>
      <c r="I54" s="12"/>
      <c r="J54" s="12"/>
      <c r="K54" s="9"/>
      <c r="L54" s="13"/>
      <c r="M54" s="4"/>
      <c r="N54" s="4"/>
      <c r="O54" s="4"/>
      <c r="P54" s="4"/>
      <c r="Q54" s="4"/>
      <c r="R54" s="4"/>
      <c r="S54" s="4"/>
      <c r="T54" s="7"/>
      <c r="U54" s="4"/>
      <c r="V54" s="4"/>
      <c r="W54" s="4"/>
      <c r="X54" s="4"/>
      <c r="Y54" s="4"/>
      <c r="Z54" s="4"/>
      <c r="AA54" s="4"/>
      <c r="AB54" s="4"/>
      <c r="AC54" s="14"/>
      <c r="AD54" s="15"/>
      <c r="AE54" s="9"/>
      <c r="AF54" s="10"/>
      <c r="AG54" s="10"/>
      <c r="AH54" s="10"/>
      <c r="AI54" s="37"/>
      <c r="AJ54" s="37"/>
      <c r="AK54" s="37"/>
      <c r="AL54" s="44"/>
      <c r="AM54" s="44"/>
      <c r="AN54" s="43"/>
      <c r="AO54" s="44"/>
      <c r="AP54" s="66" t="s">
        <v>200</v>
      </c>
      <c r="AQ54" s="45"/>
      <c r="AR54" s="47"/>
      <c r="AS54" s="47"/>
      <c r="AT54" s="48"/>
      <c r="AU54" s="47"/>
      <c r="AV54" s="77">
        <f t="shared" si="4"/>
        <v>0</v>
      </c>
      <c r="AW54" s="78">
        <f t="shared" si="5"/>
        <v>0</v>
      </c>
      <c r="AX54" s="79">
        <f t="shared" si="6"/>
        <v>0</v>
      </c>
      <c r="AY54" s="74"/>
      <c r="AZ54" s="74"/>
      <c r="BA54" s="78">
        <f t="shared" si="7"/>
        <v>0</v>
      </c>
      <c r="BD54" s="99">
        <f t="shared" si="8"/>
        <v>0</v>
      </c>
    </row>
    <row r="55" spans="1:56" ht="21.6" customHeight="1" x14ac:dyDescent="0.25">
      <c r="AI55" s="35">
        <f>SUM(AI9:AI53)</f>
        <v>119</v>
      </c>
      <c r="AJ55" s="35">
        <f>SUM(AJ9:AJ53)</f>
        <v>51</v>
      </c>
      <c r="AN55" s="36">
        <f>SUM(AN9:AN53)</f>
        <v>49.980000000000032</v>
      </c>
      <c r="AQ55" s="1">
        <f>SUM(AQ9:AQ53)</f>
        <v>51</v>
      </c>
      <c r="AR55" s="46">
        <f>SUM(AR9:AR53)</f>
        <v>47.599999999999994</v>
      </c>
      <c r="AS55" s="46"/>
      <c r="AT55" s="46">
        <f>SUM(AT9:AT53)</f>
        <v>47</v>
      </c>
      <c r="AU55" s="1">
        <f>SUM(AU9:AU53)</f>
        <v>47</v>
      </c>
      <c r="AV55" s="46">
        <f>SUM(AV9:AV54)</f>
        <v>73</v>
      </c>
      <c r="AX55" s="1">
        <f>SUM(AX9:AX54)</f>
        <v>14.599999999999994</v>
      </c>
      <c r="AZ55" s="73">
        <f>SUM(AZ10:AZ54)</f>
        <v>15</v>
      </c>
      <c r="BA55" s="46">
        <f>SUM(BA9:BA54)</f>
        <v>58</v>
      </c>
      <c r="BC55" s="1">
        <v>10</v>
      </c>
    </row>
    <row r="56" spans="1:56" ht="15" customHeight="1" x14ac:dyDescent="0.25">
      <c r="AQ56" s="1" t="s">
        <v>190</v>
      </c>
    </row>
  </sheetData>
  <mergeCells count="18">
    <mergeCell ref="BD1:BD5"/>
    <mergeCell ref="BD7:BD8"/>
    <mergeCell ref="AX1:AX5"/>
    <mergeCell ref="BA1:BA5"/>
    <mergeCell ref="AV7:AV8"/>
    <mergeCell ref="BA7:BA8"/>
    <mergeCell ref="U7:AC7"/>
    <mergeCell ref="AD7:AJ7"/>
    <mergeCell ref="A1:AJ1"/>
    <mergeCell ref="A2:AJ2"/>
    <mergeCell ref="A3:AJ3"/>
    <mergeCell ref="A4:AJ4"/>
    <mergeCell ref="A5:AJ5"/>
    <mergeCell ref="A7:A8"/>
    <mergeCell ref="B7:B8"/>
    <mergeCell ref="C7:C8"/>
    <mergeCell ref="D7:L7"/>
    <mergeCell ref="M7:T7"/>
  </mergeCells>
  <conditionalFormatting sqref="N9:P54">
    <cfRule type="cellIs" dxfId="5" priority="4" operator="greaterThan">
      <formula>35</formula>
    </cfRule>
  </conditionalFormatting>
  <conditionalFormatting sqref="Q9:S54">
    <cfRule type="cellIs" dxfId="4" priority="3" operator="greaterThan">
      <formula>45</formula>
    </cfRule>
  </conditionalFormatting>
  <conditionalFormatting sqref="AF8 AJ57:AJ996">
    <cfRule type="cellIs" dxfId="3" priority="5" operator="greaterThan">
      <formula>1</formula>
    </cfRule>
  </conditionalFormatting>
  <conditionalFormatting sqref="AF9:AH54">
    <cfRule type="cellIs" dxfId="2" priority="6" operator="lessThan">
      <formula>0</formula>
    </cfRule>
  </conditionalFormatting>
  <conditionalFormatting sqref="AG8:AJ8">
    <cfRule type="cellIs" dxfId="1" priority="2" operator="lessThan">
      <formula>0</formula>
    </cfRule>
  </conditionalFormatting>
  <conditionalFormatting sqref="AU8">
    <cfRule type="cellIs" dxfId="0" priority="1" operator="lessThan">
      <formula>0</formula>
    </cfRule>
  </conditionalFormatting>
  <printOptions horizontalCentered="1"/>
  <pageMargins left="0.25" right="0.25" top="0.5" bottom="0.5" header="0.3" footer="0.3"/>
  <pageSetup paperSize="14" scale="5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117E-2C67-45CE-BB12-2B5D9FC351E9}">
  <sheetPr>
    <tabColor rgb="FFFF0000"/>
    <pageSetUpPr fitToPage="1"/>
  </sheetPr>
  <dimension ref="A1:L15"/>
  <sheetViews>
    <sheetView zoomScale="85" zoomScaleNormal="85" workbookViewId="0">
      <selection activeCell="E26" sqref="E26"/>
    </sheetView>
  </sheetViews>
  <sheetFormatPr defaultColWidth="70.88671875" defaultRowHeight="14.4" x14ac:dyDescent="0.3"/>
  <cols>
    <col min="1" max="1" width="4.5546875" style="29" bestFit="1" customWidth="1"/>
    <col min="2" max="4" width="19.109375" style="29" customWidth="1"/>
    <col min="5" max="5" width="25.88671875" style="29" customWidth="1"/>
    <col min="6" max="6" width="22.88671875" style="30" bestFit="1" customWidth="1"/>
    <col min="7" max="7" width="35.88671875" style="30" bestFit="1" customWidth="1"/>
    <col min="8" max="8" width="32" style="30" bestFit="1" customWidth="1"/>
    <col min="9" max="12" width="70.88671875" style="29"/>
  </cols>
  <sheetData>
    <row r="1" spans="1:12" x14ac:dyDescent="0.3">
      <c r="B1" s="29" t="s">
        <v>187</v>
      </c>
    </row>
    <row r="2" spans="1:12" s="28" customFormat="1" ht="27.6" customHeight="1" x14ac:dyDescent="0.3">
      <c r="A2" s="94" t="s">
        <v>128</v>
      </c>
      <c r="B2" s="95" t="s">
        <v>129</v>
      </c>
      <c r="C2" s="96"/>
      <c r="D2" s="97"/>
      <c r="E2" s="98" t="s">
        <v>3</v>
      </c>
      <c r="F2" s="98" t="s">
        <v>130</v>
      </c>
      <c r="G2" s="94" t="s">
        <v>131</v>
      </c>
      <c r="H2" s="94" t="s">
        <v>186</v>
      </c>
      <c r="I2" s="33"/>
      <c r="J2" s="33"/>
      <c r="K2" s="33"/>
      <c r="L2" s="33"/>
    </row>
    <row r="3" spans="1:12" s="28" customFormat="1" x14ac:dyDescent="0.3">
      <c r="A3" s="94"/>
      <c r="B3" s="31" t="s">
        <v>132</v>
      </c>
      <c r="C3" s="31" t="s">
        <v>133</v>
      </c>
      <c r="D3" s="31" t="s">
        <v>134</v>
      </c>
      <c r="E3" s="98"/>
      <c r="F3" s="98"/>
      <c r="G3" s="94"/>
      <c r="H3" s="94"/>
      <c r="I3" s="33"/>
      <c r="J3" s="33"/>
      <c r="K3" s="33"/>
      <c r="L3" s="33"/>
    </row>
    <row r="4" spans="1:12" x14ac:dyDescent="0.3">
      <c r="A4" s="31">
        <v>1</v>
      </c>
      <c r="B4" s="32" t="s">
        <v>135</v>
      </c>
      <c r="C4" s="32" t="s">
        <v>136</v>
      </c>
      <c r="D4" s="32" t="s">
        <v>137</v>
      </c>
      <c r="E4" s="32" t="s">
        <v>47</v>
      </c>
      <c r="F4" s="32" t="s">
        <v>138</v>
      </c>
      <c r="G4" s="32" t="s">
        <v>139</v>
      </c>
      <c r="H4" s="32" t="s">
        <v>20</v>
      </c>
    </row>
    <row r="5" spans="1:12" x14ac:dyDescent="0.3">
      <c r="A5" s="31">
        <v>2</v>
      </c>
      <c r="B5" s="32" t="s">
        <v>140</v>
      </c>
      <c r="C5" s="32" t="s">
        <v>141</v>
      </c>
      <c r="D5" s="32" t="s">
        <v>142</v>
      </c>
      <c r="E5" s="32" t="s">
        <v>42</v>
      </c>
      <c r="F5" s="32" t="s">
        <v>138</v>
      </c>
      <c r="G5" s="32" t="s">
        <v>143</v>
      </c>
      <c r="H5" s="32" t="s">
        <v>31</v>
      </c>
    </row>
    <row r="6" spans="1:12" x14ac:dyDescent="0.3">
      <c r="A6" s="31">
        <v>3</v>
      </c>
      <c r="B6" s="32" t="s">
        <v>144</v>
      </c>
      <c r="C6" s="32" t="s">
        <v>145</v>
      </c>
      <c r="D6" s="32" t="s">
        <v>146</v>
      </c>
      <c r="E6" s="32" t="s">
        <v>31</v>
      </c>
      <c r="F6" s="32" t="s">
        <v>138</v>
      </c>
      <c r="G6" s="32" t="s">
        <v>147</v>
      </c>
      <c r="H6" s="32" t="s">
        <v>30</v>
      </c>
    </row>
    <row r="7" spans="1:12" x14ac:dyDescent="0.3">
      <c r="A7" s="31">
        <v>4</v>
      </c>
      <c r="B7" s="32" t="s">
        <v>148</v>
      </c>
      <c r="C7" s="32" t="s">
        <v>149</v>
      </c>
      <c r="D7" s="32" t="s">
        <v>150</v>
      </c>
      <c r="E7" s="32" t="s">
        <v>34</v>
      </c>
      <c r="F7" s="32" t="s">
        <v>138</v>
      </c>
      <c r="G7" s="32" t="s">
        <v>151</v>
      </c>
      <c r="H7" s="32" t="s">
        <v>38</v>
      </c>
    </row>
    <row r="8" spans="1:12" x14ac:dyDescent="0.3">
      <c r="A8" s="31">
        <v>5</v>
      </c>
      <c r="B8" s="32" t="s">
        <v>152</v>
      </c>
      <c r="C8" s="32" t="s">
        <v>153</v>
      </c>
      <c r="D8" s="32" t="s">
        <v>154</v>
      </c>
      <c r="E8" s="32" t="s">
        <v>20</v>
      </c>
      <c r="F8" s="32" t="s">
        <v>138</v>
      </c>
      <c r="G8" s="32" t="s">
        <v>155</v>
      </c>
      <c r="H8" s="32" t="s">
        <v>55</v>
      </c>
    </row>
    <row r="9" spans="1:12" x14ac:dyDescent="0.3">
      <c r="A9" s="31">
        <v>6</v>
      </c>
      <c r="B9" s="32" t="s">
        <v>156</v>
      </c>
      <c r="C9" s="32" t="s">
        <v>157</v>
      </c>
      <c r="D9" s="32" t="s">
        <v>158</v>
      </c>
      <c r="E9" s="32" t="s">
        <v>51</v>
      </c>
      <c r="F9" s="32" t="s">
        <v>159</v>
      </c>
      <c r="G9" s="32" t="s">
        <v>160</v>
      </c>
      <c r="H9" s="11" t="s">
        <v>63</v>
      </c>
    </row>
    <row r="10" spans="1:12" x14ac:dyDescent="0.3">
      <c r="A10" s="31">
        <v>7</v>
      </c>
      <c r="B10" s="32" t="s">
        <v>161</v>
      </c>
      <c r="C10" s="32" t="s">
        <v>162</v>
      </c>
      <c r="D10" s="32" t="s">
        <v>154</v>
      </c>
      <c r="E10" s="32" t="s">
        <v>20</v>
      </c>
      <c r="F10" s="32" t="s">
        <v>138</v>
      </c>
      <c r="G10" s="32" t="s">
        <v>163</v>
      </c>
      <c r="H10" s="34" t="s">
        <v>61</v>
      </c>
    </row>
    <row r="11" spans="1:12" x14ac:dyDescent="0.3">
      <c r="A11" s="31">
        <v>8</v>
      </c>
      <c r="B11" s="32" t="s">
        <v>164</v>
      </c>
      <c r="C11" s="32" t="s">
        <v>165</v>
      </c>
      <c r="D11" s="32" t="s">
        <v>166</v>
      </c>
      <c r="E11" s="32" t="s">
        <v>60</v>
      </c>
      <c r="F11" s="32" t="s">
        <v>138</v>
      </c>
      <c r="G11" s="32" t="s">
        <v>163</v>
      </c>
      <c r="H11" s="32" t="s">
        <v>21</v>
      </c>
    </row>
    <row r="12" spans="1:12" x14ac:dyDescent="0.3">
      <c r="A12" s="31">
        <v>9</v>
      </c>
      <c r="B12" s="32" t="s">
        <v>167</v>
      </c>
      <c r="C12" s="32" t="s">
        <v>168</v>
      </c>
      <c r="D12" s="32" t="s">
        <v>169</v>
      </c>
      <c r="E12" s="32" t="s">
        <v>63</v>
      </c>
      <c r="F12" s="32" t="s">
        <v>138</v>
      </c>
      <c r="G12" s="32" t="s">
        <v>170</v>
      </c>
      <c r="H12" s="32" t="s">
        <v>21</v>
      </c>
    </row>
    <row r="13" spans="1:12" x14ac:dyDescent="0.3">
      <c r="A13" s="31">
        <v>10</v>
      </c>
      <c r="B13" s="32" t="s">
        <v>171</v>
      </c>
      <c r="C13" s="32" t="s">
        <v>172</v>
      </c>
      <c r="D13" s="32" t="s">
        <v>173</v>
      </c>
      <c r="E13" s="32" t="s">
        <v>34</v>
      </c>
      <c r="F13" s="32" t="s">
        <v>138</v>
      </c>
      <c r="G13" s="32" t="s">
        <v>174</v>
      </c>
      <c r="H13" s="32" t="s">
        <v>53</v>
      </c>
    </row>
    <row r="14" spans="1:12" x14ac:dyDescent="0.3">
      <c r="A14" s="31">
        <v>11</v>
      </c>
      <c r="B14" s="32" t="s">
        <v>175</v>
      </c>
      <c r="C14" s="32" t="s">
        <v>176</v>
      </c>
      <c r="D14" s="32" t="s">
        <v>177</v>
      </c>
      <c r="E14" s="32" t="s">
        <v>24</v>
      </c>
      <c r="F14" s="32" t="s">
        <v>138</v>
      </c>
      <c r="G14" s="32" t="s">
        <v>174</v>
      </c>
      <c r="H14" s="32" t="s">
        <v>53</v>
      </c>
    </row>
    <row r="15" spans="1:12" x14ac:dyDescent="0.3">
      <c r="A15" s="31">
        <v>12</v>
      </c>
      <c r="B15" s="32" t="s">
        <v>178</v>
      </c>
      <c r="C15" s="32" t="s">
        <v>179</v>
      </c>
      <c r="D15" s="32" t="s">
        <v>180</v>
      </c>
      <c r="E15" s="32" t="s">
        <v>40</v>
      </c>
      <c r="F15" s="32" t="s">
        <v>138</v>
      </c>
      <c r="G15" s="32" t="s">
        <v>181</v>
      </c>
      <c r="H15" s="32" t="s">
        <v>57</v>
      </c>
    </row>
  </sheetData>
  <autoFilter ref="A3:O15" xr:uid="{FA9A0B3B-1AB7-4DD9-B4E6-8701D5143B09}"/>
  <mergeCells count="6">
    <mergeCell ref="H2:H3"/>
    <mergeCell ref="A2:A3"/>
    <mergeCell ref="B2:D2"/>
    <mergeCell ref="E2:E3"/>
    <mergeCell ref="F2:F3"/>
    <mergeCell ref="G2:G3"/>
  </mergeCells>
  <pageMargins left="0.25" right="0.25" top="0.25" bottom="0.25" header="0" footer="0"/>
  <pageSetup paperSize="10000" scale="9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Elem_Needs_Updated</vt:lpstr>
      <vt:lpstr>Teachers</vt:lpstr>
      <vt:lpstr>Enrolment</vt:lpstr>
      <vt:lpstr>Elem_</vt:lpstr>
      <vt:lpstr>Transfer</vt:lpstr>
      <vt:lpstr>Elem_!Print_Area</vt:lpstr>
      <vt:lpstr>Elem_Needs_Updated!Print_Area</vt:lpstr>
      <vt:lpstr>Elem_!Print_Titles</vt:lpstr>
      <vt:lpstr>Elem_Needs_Updated!Print_Titles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 Q. Velos</dc:creator>
  <cp:lastModifiedBy>MARITES LIMPANGOG</cp:lastModifiedBy>
  <cp:lastPrinted>2026-10-10T06:16:50Z</cp:lastPrinted>
  <dcterms:created xsi:type="dcterms:W3CDTF">2025-09-25T06:09:51Z</dcterms:created>
  <dcterms:modified xsi:type="dcterms:W3CDTF">2026-10-14T02:30:45Z</dcterms:modified>
</cp:coreProperties>
</file>