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marites_limpangog_deped_gov_ph/Documents/Plotting for Teachers 2026/"/>
    </mc:Choice>
  </mc:AlternateContent>
  <xr:revisionPtr revIDLastSave="806" documentId="11_905CF1A03C5F1BC000BF5697BB43C75D16002B83" xr6:coauthVersionLast="47" xr6:coauthVersionMax="47" xr10:uidLastSave="{7CF34E88-0352-42AD-ABAE-C3A3C55B9835}"/>
  <bookViews>
    <workbookView xWindow="-108" yWindow="-108" windowWidth="23256" windowHeight="12456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9" i="3" l="1"/>
  <c r="CK9" i="3"/>
  <c r="CP32" i="3"/>
  <c r="CO32" i="3"/>
  <c r="CN32" i="3"/>
  <c r="CM32" i="3"/>
  <c r="CL32" i="3"/>
  <c r="CK32" i="3"/>
  <c r="CJ32" i="3"/>
  <c r="CK30" i="3"/>
  <c r="CP30" i="3"/>
  <c r="CO29" i="3"/>
  <c r="CP28" i="3"/>
  <c r="CP27" i="3"/>
  <c r="CO27" i="3"/>
  <c r="CN27" i="3"/>
  <c r="CM27" i="3"/>
  <c r="CL27" i="3"/>
  <c r="CJ27" i="3"/>
  <c r="CQ25" i="3"/>
  <c r="CO23" i="3"/>
  <c r="CN22" i="3"/>
  <c r="CM22" i="3"/>
  <c r="CP22" i="3"/>
  <c r="CK19" i="3"/>
  <c r="CM16" i="3"/>
  <c r="CP13" i="3"/>
  <c r="CN13" i="3"/>
  <c r="CM13" i="3"/>
  <c r="CO12" i="3"/>
</calcChain>
</file>

<file path=xl/sharedStrings.xml><?xml version="1.0" encoding="utf-8"?>
<sst xmlns="http://schemas.openxmlformats.org/spreadsheetml/2006/main" count="317" uniqueCount="67">
  <si>
    <r>
      <rPr>
        <b/>
        <sz val="13"/>
        <rFont val="Calibri"/>
        <family val="1"/>
      </rPr>
      <t xml:space="preserve">JHS ANALYSIS OF TEACHERS' NEEDS FOR SY 2
</t>
    </r>
    <r>
      <rPr>
        <i/>
        <sz val="8.5"/>
        <rFont val="Calibri"/>
        <family val="1"/>
      </rPr>
      <t>as of April 2026</t>
    </r>
  </si>
  <si>
    <r>
      <rPr>
        <b/>
        <sz val="13"/>
        <rFont val="Calibri"/>
        <family val="1"/>
      </rPr>
      <t>025-2026</t>
    </r>
  </si>
  <si>
    <r>
      <rPr>
        <sz val="5.5"/>
        <rFont val="Calibri"/>
        <family val="1"/>
      </rPr>
      <t>40-45   40-45   40-45   40-45      15</t>
    </r>
  </si>
  <si>
    <r>
      <rPr>
        <sz val="8"/>
        <rFont val="Calibri"/>
        <family val="1"/>
      </rPr>
      <t>School ID</t>
    </r>
  </si>
  <si>
    <r>
      <rPr>
        <sz val="8"/>
        <rFont val="Calibri"/>
        <family val="1"/>
      </rPr>
      <t>School</t>
    </r>
  </si>
  <si>
    <r>
      <rPr>
        <sz val="8"/>
        <rFont val="Calibri"/>
        <family val="1"/>
      </rPr>
      <t xml:space="preserve">Enrolment SY 2025-2026
</t>
    </r>
    <r>
      <rPr>
        <sz val="8"/>
        <rFont val="Calibri"/>
        <family val="1"/>
      </rPr>
      <t>as of April 15, 2026</t>
    </r>
  </si>
  <si>
    <r>
      <rPr>
        <sz val="8"/>
        <rFont val="Calibri"/>
        <family val="1"/>
      </rPr>
      <t>NUMBER OF CLASSES</t>
    </r>
  </si>
  <si>
    <r>
      <rPr>
        <sz val="8"/>
        <rFont val="Calibri"/>
        <family val="1"/>
      </rPr>
      <t>Teacher Requirements @ 1:40 T/L Ratio</t>
    </r>
  </si>
  <si>
    <r>
      <rPr>
        <sz val="8"/>
        <rFont val="Calibri"/>
        <family val="1"/>
      </rPr>
      <t xml:space="preserve">Existing Teachers as of </t>
    </r>
    <r>
      <rPr>
        <b/>
        <sz val="8"/>
        <rFont val="Calibri"/>
        <family val="1"/>
      </rPr>
      <t>April 2026</t>
    </r>
  </si>
  <si>
    <r>
      <rPr>
        <sz val="8"/>
        <rFont val="Arial"/>
        <family val="2"/>
      </rPr>
      <t>TRANSFERS IN</t>
    </r>
  </si>
  <si>
    <r>
      <rPr>
        <sz val="8"/>
        <rFont val="Arial"/>
        <family val="2"/>
      </rPr>
      <t>TRANSFERS OUT</t>
    </r>
  </si>
  <si>
    <r>
      <rPr>
        <sz val="8"/>
        <rFont val="Calibri"/>
        <family val="1"/>
      </rPr>
      <t>Teacher Needs (+ Needs/ - Exccess)</t>
    </r>
  </si>
  <si>
    <r>
      <rPr>
        <sz val="8"/>
        <rFont val="Calibri"/>
        <family val="1"/>
      </rPr>
      <t>Filipino</t>
    </r>
  </si>
  <si>
    <r>
      <rPr>
        <sz val="8"/>
        <rFont val="Calibri"/>
        <family val="1"/>
      </rPr>
      <t>English</t>
    </r>
  </si>
  <si>
    <r>
      <rPr>
        <sz val="8"/>
        <rFont val="Calibri"/>
        <family val="1"/>
      </rPr>
      <t>Math</t>
    </r>
  </si>
  <si>
    <r>
      <rPr>
        <sz val="8"/>
        <rFont val="Calibri"/>
        <family val="1"/>
      </rPr>
      <t>Science</t>
    </r>
  </si>
  <si>
    <r>
      <rPr>
        <sz val="8"/>
        <rFont val="Calibri"/>
        <family val="1"/>
      </rPr>
      <t>AralPan</t>
    </r>
  </si>
  <si>
    <r>
      <rPr>
        <sz val="8"/>
        <rFont val="Calibri"/>
        <family val="1"/>
      </rPr>
      <t>TLE</t>
    </r>
  </si>
  <si>
    <r>
      <rPr>
        <sz val="8"/>
        <rFont val="Calibri"/>
        <family val="1"/>
      </rPr>
      <t>MAPEH</t>
    </r>
  </si>
  <si>
    <r>
      <rPr>
        <sz val="8"/>
        <rFont val="Calibri"/>
        <family val="1"/>
      </rPr>
      <t>EsP</t>
    </r>
  </si>
  <si>
    <r>
      <rPr>
        <sz val="8"/>
        <rFont val="Calibri"/>
        <family val="1"/>
      </rPr>
      <t>SPED</t>
    </r>
  </si>
  <si>
    <r>
      <rPr>
        <sz val="8"/>
        <rFont val="Calibri"/>
        <family val="1"/>
      </rPr>
      <t>TOTAL</t>
    </r>
  </si>
  <si>
    <r>
      <rPr>
        <sz val="8"/>
        <rFont val="Calibri"/>
        <family val="1"/>
      </rPr>
      <t>AraPan</t>
    </r>
  </si>
  <si>
    <r>
      <rPr>
        <sz val="8"/>
        <rFont val="Calibri"/>
        <family val="1"/>
      </rPr>
      <t>Total</t>
    </r>
  </si>
  <si>
    <r>
      <rPr>
        <sz val="7"/>
        <rFont val="Calibri"/>
        <family val="1"/>
      </rPr>
      <t>G7</t>
    </r>
  </si>
  <si>
    <r>
      <rPr>
        <sz val="7"/>
        <rFont val="Calibri"/>
        <family val="1"/>
      </rPr>
      <t>G8</t>
    </r>
  </si>
  <si>
    <r>
      <rPr>
        <sz val="7"/>
        <rFont val="Calibri"/>
        <family val="1"/>
      </rPr>
      <t>G9</t>
    </r>
  </si>
  <si>
    <r>
      <rPr>
        <sz val="7"/>
        <rFont val="Calibri"/>
        <family val="1"/>
      </rPr>
      <t>G10</t>
    </r>
  </si>
  <si>
    <r>
      <rPr>
        <sz val="7"/>
        <rFont val="Calibri"/>
        <family val="1"/>
      </rPr>
      <t>NG</t>
    </r>
  </si>
  <si>
    <r>
      <rPr>
        <sz val="7"/>
        <rFont val="Calibri"/>
        <family val="1"/>
      </rPr>
      <t>T</t>
    </r>
  </si>
  <si>
    <r>
      <rPr>
        <sz val="7"/>
        <rFont val="Calibri"/>
        <family val="1"/>
      </rPr>
      <t>Abuno HS</t>
    </r>
  </si>
  <si>
    <r>
      <rPr>
        <sz val="7"/>
        <rFont val="Calibri"/>
        <family val="1"/>
      </rPr>
      <t>Babag NHS</t>
    </r>
  </si>
  <si>
    <r>
      <rPr>
        <sz val="7"/>
        <rFont val="Calibri"/>
        <family val="1"/>
      </rPr>
      <t>Bankal NHS</t>
    </r>
  </si>
  <si>
    <r>
      <rPr>
        <sz val="7"/>
        <rFont val="Calibri"/>
        <family val="1"/>
      </rPr>
      <t>Basak Night HS</t>
    </r>
  </si>
  <si>
    <r>
      <rPr>
        <sz val="7"/>
        <rFont val="Calibri"/>
        <family val="1"/>
      </rPr>
      <t>Buyong HS</t>
    </r>
  </si>
  <si>
    <r>
      <rPr>
        <sz val="7"/>
        <rFont val="Calibri"/>
        <family val="1"/>
      </rPr>
      <t>Caohagan IS</t>
    </r>
  </si>
  <si>
    <r>
      <rPr>
        <sz val="7"/>
        <rFont val="Calibri"/>
        <family val="1"/>
      </rPr>
      <t>Felipe F. Matbagon Memorial HS</t>
    </r>
  </si>
  <si>
    <r>
      <rPr>
        <sz val="7"/>
        <rFont val="Calibri"/>
        <family val="1"/>
      </rPr>
      <t>Gun-ob HS</t>
    </r>
  </si>
  <si>
    <r>
      <rPr>
        <sz val="7"/>
        <rFont val="Calibri"/>
        <family val="1"/>
      </rPr>
      <t>Gun-ob Night HS</t>
    </r>
  </si>
  <si>
    <r>
      <rPr>
        <sz val="7"/>
        <rFont val="Calibri"/>
        <family val="1"/>
      </rPr>
      <t>Lo-ok NHS</t>
    </r>
  </si>
  <si>
    <r>
      <rPr>
        <sz val="7"/>
        <rFont val="Calibri"/>
        <family val="1"/>
      </rPr>
      <t>Mactan Air Base NHS</t>
    </r>
  </si>
  <si>
    <r>
      <rPr>
        <sz val="7"/>
        <rFont val="Calibri"/>
        <family val="1"/>
      </rPr>
      <t>Mactan NHS</t>
    </r>
  </si>
  <si>
    <r>
      <rPr>
        <sz val="7"/>
        <rFont val="Calibri"/>
        <family val="1"/>
      </rPr>
      <t>Maribago HS</t>
    </r>
  </si>
  <si>
    <r>
      <rPr>
        <sz val="7"/>
        <rFont val="Calibri"/>
        <family val="1"/>
      </rPr>
      <t>Nemesio Epifania Taneo MHS</t>
    </r>
  </si>
  <si>
    <r>
      <rPr>
        <sz val="7"/>
        <rFont val="Calibri"/>
        <family val="1"/>
      </rPr>
      <t>Pajo NHS</t>
    </r>
  </si>
  <si>
    <r>
      <rPr>
        <sz val="7"/>
        <rFont val="Calibri"/>
        <family val="1"/>
      </rPr>
      <t>Pajo Night HS</t>
    </r>
  </si>
  <si>
    <r>
      <rPr>
        <sz val="7"/>
        <rFont val="Calibri"/>
        <family val="1"/>
      </rPr>
      <t>Pangan-an HS</t>
    </r>
  </si>
  <si>
    <r>
      <rPr>
        <sz val="7"/>
        <rFont val="Calibri"/>
        <family val="1"/>
      </rPr>
      <t>Poblacion Night HS</t>
    </r>
  </si>
  <si>
    <r>
      <rPr>
        <sz val="7"/>
        <rFont val="Calibri"/>
        <family val="1"/>
      </rPr>
      <t>Punta Engaño HS</t>
    </r>
  </si>
  <si>
    <r>
      <rPr>
        <sz val="7"/>
        <rFont val="Calibri"/>
        <family val="1"/>
      </rPr>
      <t>Pusok NHS</t>
    </r>
  </si>
  <si>
    <r>
      <rPr>
        <sz val="7"/>
        <rFont val="Calibri"/>
        <family val="1"/>
      </rPr>
      <t>Pusok Night HS</t>
    </r>
  </si>
  <si>
    <r>
      <rPr>
        <sz val="8"/>
        <rFont val="Calibri"/>
        <family val="1"/>
      </rPr>
      <t>Sabang NHS</t>
    </r>
  </si>
  <si>
    <r>
      <rPr>
        <sz val="7"/>
        <rFont val="Calibri"/>
        <family val="1"/>
      </rPr>
      <t>Sta. Rosa NHS</t>
    </r>
  </si>
  <si>
    <r>
      <rPr>
        <sz val="7"/>
        <rFont val="Calibri"/>
        <family val="1"/>
      </rPr>
      <t>STEC STHS</t>
    </r>
  </si>
  <si>
    <r>
      <rPr>
        <sz val="7"/>
        <rFont val="Calibri"/>
        <family val="1"/>
      </rPr>
      <t>Sudtonggan Night HS</t>
    </r>
  </si>
  <si>
    <r>
      <rPr>
        <sz val="7"/>
        <rFont val="Calibri"/>
        <family val="1"/>
      </rPr>
      <t>Tungasan HS</t>
    </r>
  </si>
  <si>
    <r>
      <rPr>
        <sz val="7"/>
        <rFont val="Calibri"/>
        <family val="1"/>
      </rPr>
      <t>Marigondon NHS</t>
    </r>
  </si>
  <si>
    <t>EsP</t>
  </si>
  <si>
    <r>
      <rPr>
        <sz val="8"/>
        <rFont val="Arial"/>
        <family val="2"/>
      </rPr>
      <t>TRANSFERS IN</t>
    </r>
    <r>
      <rPr>
        <sz val="8"/>
        <rFont val="Arial"/>
      </rPr>
      <t xml:space="preserve"> as of July 2026</t>
    </r>
  </si>
  <si>
    <r>
      <t>TRANSFERS OUT</t>
    </r>
    <r>
      <rPr>
        <sz val="8"/>
        <rFont val="Arial"/>
      </rPr>
      <t xml:space="preserve"> as of July 2026</t>
    </r>
  </si>
  <si>
    <t>Teacher Deployed as of July 2026</t>
  </si>
  <si>
    <r>
      <t>TRANSFERS OUT</t>
    </r>
    <r>
      <rPr>
        <sz val="8"/>
        <rFont val="Arial"/>
      </rPr>
      <t xml:space="preserve"> as of September 2026</t>
    </r>
  </si>
  <si>
    <r>
      <t>TRANSFERS IN</t>
    </r>
    <r>
      <rPr>
        <sz val="8"/>
        <rFont val="Arial"/>
      </rPr>
      <t xml:space="preserve"> as of September 2026</t>
    </r>
  </si>
  <si>
    <t>Teacher Deployed as of September 2026</t>
  </si>
  <si>
    <r>
      <t>TRANSFERS OUT</t>
    </r>
    <r>
      <rPr>
        <sz val="8"/>
        <rFont val="Arial"/>
      </rPr>
      <t xml:space="preserve"> as of October 2026</t>
    </r>
  </si>
  <si>
    <r>
      <t>TRANSFERS IN</t>
    </r>
    <r>
      <rPr>
        <sz val="8"/>
        <rFont val="Arial"/>
      </rPr>
      <t xml:space="preserve"> as of October 2026</t>
    </r>
  </si>
  <si>
    <t>Teacher Deployed as of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</si>
</sst>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3"/>
      <name val="Calibri"/>
    </font>
    <font>
      <sz val="5.5"/>
      <name val="Calibri"/>
    </font>
    <font>
      <sz val="8"/>
      <name val="Calibri"/>
    </font>
    <font>
      <sz val="8"/>
      <name val="Arial"/>
    </font>
    <font>
      <sz val="7"/>
      <name val="Calibri"/>
    </font>
    <font>
      <sz val="7"/>
      <color rgb="FF000000"/>
      <name val="Calibri"/>
      <family val="2"/>
    </font>
    <font>
      <b/>
      <sz val="13"/>
      <name val="Calibri"/>
      <family val="1"/>
    </font>
    <font>
      <i/>
      <sz val="8.5"/>
      <name val="Calibri"/>
      <family val="1"/>
    </font>
    <font>
      <sz val="5.5"/>
      <name val="Calibri"/>
      <family val="1"/>
    </font>
    <font>
      <sz val="8"/>
      <name val="Calibri"/>
      <family val="1"/>
    </font>
    <font>
      <b/>
      <sz val="8"/>
      <name val="Calibri"/>
      <family val="1"/>
    </font>
    <font>
      <sz val="8"/>
      <name val="Arial"/>
      <family val="2"/>
    </font>
    <font>
      <sz val="7"/>
      <name val="Calibri"/>
      <family val="1"/>
    </font>
    <font>
      <sz val="7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BCD6ED"/>
      </patternFill>
    </fill>
    <fill>
      <patternFill patternType="solid">
        <fgColor rgb="FFC5DFB4"/>
      </patternFill>
    </fill>
    <fill>
      <patternFill patternType="solid">
        <fgColor rgb="FFFFC000"/>
      </patternFill>
    </fill>
    <fill>
      <patternFill patternType="solid">
        <fgColor rgb="FFFFE699"/>
      </patternFill>
    </fill>
    <fill>
      <patternFill patternType="solid">
        <fgColor rgb="FFF8CAA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 wrapText="1" indent="6"/>
    </xf>
    <xf numFmtId="0" fontId="1" fillId="0" borderId="0" xfId="0" applyFont="1" applyAlignment="1">
      <alignment horizontal="left" vertical="top" wrapText="1" indent="6"/>
    </xf>
    <xf numFmtId="0" fontId="2" fillId="0" borderId="0" xfId="0" applyFont="1" applyAlignment="1">
      <alignment horizontal="left" vertical="top" wrapText="1" indent="32"/>
    </xf>
    <xf numFmtId="0" fontId="5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1" fontId="6" fillId="4" borderId="1" xfId="0" applyNumberFormat="1" applyFont="1" applyFill="1" applyBorder="1" applyAlignment="1">
      <alignment horizontal="center" vertical="top" shrinkToFit="1"/>
    </xf>
    <xf numFmtId="1" fontId="6" fillId="2" borderId="1" xfId="0" applyNumberFormat="1" applyFont="1" applyFill="1" applyBorder="1" applyAlignment="1">
      <alignment horizontal="center" vertical="top" shrinkToFit="1"/>
    </xf>
    <xf numFmtId="1" fontId="6" fillId="3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vertical="top" shrinkToFit="1"/>
    </xf>
    <xf numFmtId="1" fontId="6" fillId="6" borderId="1" xfId="0" applyNumberFormat="1" applyFont="1" applyFill="1" applyBorder="1" applyAlignment="1">
      <alignment horizontal="center" vertical="top" shrinkToFit="1"/>
    </xf>
    <xf numFmtId="3" fontId="6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9" xfId="0" applyBorder="1" applyAlignment="1">
      <alignment vertical="top"/>
    </xf>
    <xf numFmtId="0" fontId="0" fillId="0" borderId="0" xfId="0" applyAlignment="1">
      <alignment vertical="top"/>
    </xf>
    <xf numFmtId="0" fontId="3" fillId="0" borderId="4" xfId="0" applyFont="1" applyBorder="1" applyAlignment="1">
      <alignment horizontal="left" textRotation="90" wrapText="1"/>
    </xf>
    <xf numFmtId="0" fontId="3" fillId="0" borderId="0" xfId="0" applyFont="1" applyAlignment="1">
      <alignment horizontal="left" vertical="top" wrapText="1" indent="6"/>
    </xf>
    <xf numFmtId="0" fontId="3" fillId="0" borderId="3" xfId="0" applyFont="1" applyBorder="1" applyAlignment="1">
      <alignment horizontal="left" textRotation="90" wrapText="1"/>
    </xf>
    <xf numFmtId="0" fontId="10" fillId="0" borderId="0" xfId="0" applyFont="1" applyAlignment="1">
      <alignment vertical="center" wrapText="1"/>
    </xf>
    <xf numFmtId="1" fontId="6" fillId="7" borderId="1" xfId="0" applyNumberFormat="1" applyFont="1" applyFill="1" applyBorder="1" applyAlignment="1">
      <alignment horizontal="center" vertical="top" shrinkToFit="1"/>
    </xf>
    <xf numFmtId="1" fontId="6" fillId="8" borderId="1" xfId="0" applyNumberFormat="1" applyFont="1" applyFill="1" applyBorder="1" applyAlignment="1">
      <alignment horizontal="center" vertical="top" shrinkToFit="1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9" borderId="0" xfId="0" applyFill="1" applyAlignment="1">
      <alignment horizontal="left" vertical="top"/>
    </xf>
    <xf numFmtId="0" fontId="3" fillId="9" borderId="0" xfId="0" applyFont="1" applyFill="1" applyAlignment="1">
      <alignment horizontal="left" vertical="top" wrapText="1" indent="6"/>
    </xf>
    <xf numFmtId="0" fontId="3" fillId="9" borderId="3" xfId="0" applyFont="1" applyFill="1" applyBorder="1" applyAlignment="1">
      <alignment horizontal="left" textRotation="90" wrapText="1"/>
    </xf>
    <xf numFmtId="0" fontId="3" fillId="9" borderId="4" xfId="0" applyFont="1" applyFill="1" applyBorder="1" applyAlignment="1">
      <alignment horizontal="left" textRotation="90" wrapText="1"/>
    </xf>
    <xf numFmtId="1" fontId="6" fillId="9" borderId="1" xfId="0" applyNumberFormat="1" applyFont="1" applyFill="1" applyBorder="1" applyAlignment="1">
      <alignment horizontal="center" vertical="top" shrinkToFit="1"/>
    </xf>
    <xf numFmtId="1" fontId="6" fillId="10" borderId="1" xfId="0" applyNumberFormat="1" applyFont="1" applyFill="1" applyBorder="1" applyAlignment="1">
      <alignment horizontal="center" vertical="top" shrinkToFit="1"/>
    </xf>
    <xf numFmtId="0" fontId="0" fillId="10" borderId="1" xfId="0" applyFill="1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3" fillId="0" borderId="18" xfId="0" applyFont="1" applyBorder="1" applyAlignment="1">
      <alignment horizontal="left" textRotation="90" wrapText="1"/>
    </xf>
    <xf numFmtId="0" fontId="3" fillId="0" borderId="4" xfId="0" applyFont="1" applyBorder="1" applyAlignment="1">
      <alignment horizontal="left" textRotation="90" wrapText="1"/>
    </xf>
    <xf numFmtId="0" fontId="3" fillId="3" borderId="18" xfId="0" applyFont="1" applyFill="1" applyBorder="1" applyAlignment="1">
      <alignment horizontal="left" textRotation="90" wrapText="1"/>
    </xf>
    <xf numFmtId="0" fontId="3" fillId="3" borderId="4" xfId="0" applyFont="1" applyFill="1" applyBorder="1" applyAlignment="1">
      <alignment horizontal="left" textRotation="90" wrapText="1"/>
    </xf>
    <xf numFmtId="0" fontId="12" fillId="0" borderId="11" xfId="0" applyFont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left" textRotation="90" wrapText="1"/>
    </xf>
    <xf numFmtId="0" fontId="3" fillId="3" borderId="2" xfId="0" applyFont="1" applyFill="1" applyBorder="1" applyAlignment="1">
      <alignment horizontal="left" textRotation="90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left" vertical="top" wrapText="1" indent="2"/>
    </xf>
    <xf numFmtId="0" fontId="3" fillId="0" borderId="8" xfId="0" applyFont="1" applyBorder="1" applyAlignment="1">
      <alignment horizontal="left" vertical="top" wrapText="1" indent="2"/>
    </xf>
    <xf numFmtId="0" fontId="3" fillId="0" borderId="9" xfId="0" applyFont="1" applyBorder="1" applyAlignment="1">
      <alignment horizontal="left" vertical="top" wrapText="1" indent="2"/>
    </xf>
    <xf numFmtId="0" fontId="3" fillId="0" borderId="10" xfId="0" applyFont="1" applyBorder="1" applyAlignment="1">
      <alignment horizontal="left" vertical="top" wrapText="1" indent="2"/>
    </xf>
    <xf numFmtId="0" fontId="3" fillId="0" borderId="11" xfId="0" applyFont="1" applyBorder="1" applyAlignment="1">
      <alignment horizontal="left" vertical="top" wrapText="1" indent="4"/>
    </xf>
    <xf numFmtId="0" fontId="3" fillId="0" borderId="12" xfId="0" applyFont="1" applyBorder="1" applyAlignment="1">
      <alignment horizontal="left" vertical="top" wrapText="1" indent="4"/>
    </xf>
    <xf numFmtId="0" fontId="3" fillId="0" borderId="13" xfId="0" applyFont="1" applyBorder="1" applyAlignment="1">
      <alignment horizontal="left" vertical="top" wrapText="1" indent="4"/>
    </xf>
    <xf numFmtId="0" fontId="3" fillId="2" borderId="2" xfId="0" applyFont="1" applyFill="1" applyBorder="1" applyAlignment="1">
      <alignment horizontal="left" textRotation="90" wrapText="1"/>
    </xf>
    <xf numFmtId="0" fontId="3" fillId="2" borderId="4" xfId="0" applyFont="1" applyFill="1" applyBorder="1" applyAlignment="1">
      <alignment horizontal="left" textRotation="90" wrapText="1"/>
    </xf>
    <xf numFmtId="0" fontId="0" fillId="0" borderId="11" xfId="0" applyBorder="1" applyAlignment="1">
      <alignment horizontal="left" vertical="top" wrapText="1" indent="5"/>
    </xf>
    <xf numFmtId="0" fontId="0" fillId="0" borderId="12" xfId="0" applyBorder="1" applyAlignment="1">
      <alignment horizontal="left" vertical="top" wrapText="1" indent="5"/>
    </xf>
    <xf numFmtId="0" fontId="0" fillId="0" borderId="13" xfId="0" applyBorder="1" applyAlignment="1">
      <alignment horizontal="left" vertical="top" wrapText="1" indent="5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textRotation="90" wrapText="1"/>
    </xf>
    <xf numFmtId="0" fontId="10" fillId="0" borderId="4" xfId="0" applyFont="1" applyBorder="1" applyAlignment="1">
      <alignment horizontal="left" textRotation="90" wrapText="1"/>
    </xf>
    <xf numFmtId="1" fontId="6" fillId="11" borderId="1" xfId="0" applyNumberFormat="1" applyFont="1" applyFill="1" applyBorder="1" applyAlignment="1">
      <alignment horizontal="center" vertical="top" shrinkToFit="1"/>
    </xf>
    <xf numFmtId="1" fontId="14" fillId="11" borderId="1" xfId="0" applyNumberFormat="1" applyFont="1" applyFill="1" applyBorder="1" applyAlignment="1">
      <alignment horizontal="center" vertical="top" shrinkToFit="1"/>
    </xf>
    <xf numFmtId="1" fontId="0" fillId="9" borderId="0" xfId="0" applyNumberForma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7C80"/>
      <color rgb="FFBC4447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3.2" x14ac:dyDescent="0.25"/>
  <cols>
    <col min="1" max="1" width="219.33203125" customWidth="1"/>
    <col min="2" max="2" width="129.109375" customWidth="1"/>
  </cols>
  <sheetData>
    <row r="1" spans="1:2" ht="32.25" customHeight="1" x14ac:dyDescent="0.25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cols>
    <col min="1" max="1" width="255.5546875" customWidth="1"/>
  </cols>
  <sheetData>
    <row r="1" spans="1:1" ht="8.25" customHeight="1" x14ac:dyDescent="0.25">
      <c r="A1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I35"/>
  <sheetViews>
    <sheetView tabSelected="1" topLeftCell="A3" zoomScale="110" zoomScaleNormal="110" workbookViewId="0">
      <pane xSplit="1" topLeftCell="CZ1" activePane="topRight" state="frozen"/>
      <selection activeCell="A3" sqref="A3"/>
      <selection pane="topRight" activeCell="FF11" sqref="FF11"/>
    </sheetView>
  </sheetViews>
  <sheetFormatPr defaultRowHeight="13.2" x14ac:dyDescent="0.25"/>
  <cols>
    <col min="1" max="1" width="23.5546875" customWidth="1"/>
    <col min="2" max="2" width="6.5546875" bestFit="1" customWidth="1"/>
    <col min="3" max="6" width="3.77734375" bestFit="1" customWidth="1"/>
    <col min="7" max="7" width="2.5546875" bestFit="1" customWidth="1"/>
    <col min="8" max="10" width="2.33203125" bestFit="1" customWidth="1"/>
    <col min="11" max="11" width="3" bestFit="1" customWidth="1"/>
    <col min="12" max="12" width="2.5546875" bestFit="1" customWidth="1"/>
    <col min="13" max="13" width="2.77734375" bestFit="1" customWidth="1"/>
    <col min="14" max="22" width="2.5546875" bestFit="1" customWidth="1"/>
    <col min="23" max="23" width="2.77734375" bestFit="1" customWidth="1"/>
    <col min="24" max="32" width="2.5546875" bestFit="1" customWidth="1"/>
    <col min="33" max="33" width="2.77734375" bestFit="1" customWidth="1"/>
    <col min="34" max="43" width="2.5546875" bestFit="1" customWidth="1"/>
    <col min="44" max="44" width="20.77734375" bestFit="1" customWidth="1"/>
    <col min="45" max="64" width="2.5546875" bestFit="1" customWidth="1"/>
    <col min="65" max="65" width="2.5546875" style="25" customWidth="1"/>
    <col min="66" max="75" width="2.5546875" customWidth="1"/>
    <col min="76" max="76" width="2.5546875" hidden="1" customWidth="1"/>
    <col min="77" max="86" width="2.5546875" customWidth="1"/>
    <col min="87" max="87" width="2.5546875" hidden="1" customWidth="1"/>
    <col min="88" max="96" width="2.5546875" bestFit="1" customWidth="1"/>
    <col min="97" max="97" width="3.44140625" customWidth="1"/>
    <col min="98" max="98" width="2.5546875" style="25" customWidth="1"/>
    <col min="99" max="108" width="2.5546875" bestFit="1" customWidth="1"/>
    <col min="109" max="109" width="2.88671875" customWidth="1"/>
    <col min="110" max="119" width="2.5546875" bestFit="1" customWidth="1"/>
    <col min="120" max="120" width="3.5546875" customWidth="1"/>
    <col min="121" max="130" width="2.5546875" bestFit="1" customWidth="1"/>
    <col min="131" max="131" width="2.77734375" style="25" customWidth="1"/>
    <col min="132" max="141" width="2.5546875" bestFit="1" customWidth="1"/>
    <col min="142" max="142" width="2.88671875" customWidth="1"/>
    <col min="143" max="152" width="2.5546875" bestFit="1" customWidth="1"/>
    <col min="153" max="153" width="2.77734375" customWidth="1"/>
    <col min="154" max="163" width="2.5546875" bestFit="1" customWidth="1"/>
    <col min="164" max="164" width="3.33203125" customWidth="1"/>
    <col min="165" max="165" width="3.44140625" customWidth="1"/>
  </cols>
  <sheetData>
    <row r="1" spans="1:165" hidden="1" x14ac:dyDescent="0.25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</row>
    <row r="2" spans="1:165" ht="13.2" hidden="1" customHeight="1" x14ac:dyDescent="0.25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CJ2" s="20"/>
      <c r="CK2" s="20"/>
      <c r="CL2" s="20"/>
      <c r="CM2" s="20"/>
      <c r="CN2" s="20"/>
      <c r="CO2" s="20"/>
      <c r="CP2" s="20"/>
      <c r="CQ2" s="20"/>
      <c r="CR2" s="20"/>
      <c r="CS2" s="20"/>
    </row>
    <row r="3" spans="1:165" ht="12" customHeight="1" x14ac:dyDescent="0.25">
      <c r="A3" s="48" t="s">
        <v>4</v>
      </c>
      <c r="B3" s="45" t="s">
        <v>3</v>
      </c>
      <c r="C3" s="51" t="s">
        <v>5</v>
      </c>
      <c r="D3" s="52"/>
      <c r="E3" s="52"/>
      <c r="F3" s="52"/>
      <c r="G3" s="53"/>
      <c r="H3" s="57" t="s">
        <v>6</v>
      </c>
      <c r="I3" s="58"/>
      <c r="J3" s="58"/>
      <c r="K3" s="58"/>
      <c r="L3" s="58"/>
      <c r="M3" s="59"/>
      <c r="N3" s="63" t="s">
        <v>7</v>
      </c>
      <c r="O3" s="64"/>
      <c r="P3" s="64"/>
      <c r="Q3" s="64"/>
      <c r="R3" s="64"/>
      <c r="S3" s="64"/>
      <c r="T3" s="64"/>
      <c r="U3" s="64"/>
      <c r="V3" s="64"/>
      <c r="W3" s="65"/>
      <c r="X3" s="68" t="s">
        <v>8</v>
      </c>
      <c r="Y3" s="69"/>
      <c r="Z3" s="69"/>
      <c r="AA3" s="69"/>
      <c r="AB3" s="69"/>
      <c r="AC3" s="69"/>
      <c r="AD3" s="69"/>
      <c r="AE3" s="69"/>
      <c r="AF3" s="69"/>
      <c r="AG3" s="70"/>
      <c r="AH3" s="71" t="s">
        <v>9</v>
      </c>
      <c r="AI3" s="72"/>
      <c r="AJ3" s="72"/>
      <c r="AK3" s="72"/>
      <c r="AL3" s="72"/>
      <c r="AM3" s="72"/>
      <c r="AN3" s="72"/>
      <c r="AO3" s="72"/>
      <c r="AP3" s="72"/>
      <c r="AQ3" s="73"/>
      <c r="AR3" s="48" t="s">
        <v>4</v>
      </c>
      <c r="AS3" s="71" t="s">
        <v>10</v>
      </c>
      <c r="AT3" s="72"/>
      <c r="AU3" s="72"/>
      <c r="AV3" s="72"/>
      <c r="AW3" s="72"/>
      <c r="AX3" s="72"/>
      <c r="AY3" s="72"/>
      <c r="AZ3" s="72"/>
      <c r="BA3" s="72"/>
      <c r="BB3" s="73"/>
      <c r="BC3" s="74" t="s">
        <v>11</v>
      </c>
      <c r="BD3" s="75"/>
      <c r="BE3" s="75"/>
      <c r="BF3" s="75"/>
      <c r="BG3" s="75"/>
      <c r="BH3" s="75"/>
      <c r="BI3" s="75"/>
      <c r="BJ3" s="75"/>
      <c r="BK3" s="75"/>
      <c r="BL3" s="76"/>
      <c r="BM3" s="26"/>
      <c r="BN3" s="37" t="s">
        <v>59</v>
      </c>
      <c r="BO3" s="38"/>
      <c r="BP3" s="38"/>
      <c r="BQ3" s="38"/>
      <c r="BR3" s="38"/>
      <c r="BS3" s="38"/>
      <c r="BT3" s="38"/>
      <c r="BU3" s="38"/>
      <c r="BV3" s="38"/>
      <c r="BW3" s="39"/>
      <c r="BX3" s="18"/>
      <c r="BY3" s="37" t="s">
        <v>58</v>
      </c>
      <c r="BZ3" s="38"/>
      <c r="CA3" s="38"/>
      <c r="CB3" s="38"/>
      <c r="CC3" s="38"/>
      <c r="CD3" s="38"/>
      <c r="CE3" s="38"/>
      <c r="CF3" s="38"/>
      <c r="CG3" s="38"/>
      <c r="CH3" s="39"/>
      <c r="CI3" s="18"/>
      <c r="CJ3" s="40" t="s">
        <v>60</v>
      </c>
      <c r="CK3" s="41"/>
      <c r="CL3" s="41"/>
      <c r="CM3" s="41"/>
      <c r="CN3" s="41"/>
      <c r="CO3" s="41"/>
      <c r="CP3" s="41"/>
      <c r="CQ3" s="41"/>
      <c r="CR3" s="41"/>
      <c r="CS3" s="42"/>
      <c r="CU3" s="37" t="s">
        <v>61</v>
      </c>
      <c r="CV3" s="38"/>
      <c r="CW3" s="38"/>
      <c r="CX3" s="38"/>
      <c r="CY3" s="38"/>
      <c r="CZ3" s="38"/>
      <c r="DA3" s="38"/>
      <c r="DB3" s="38"/>
      <c r="DC3" s="38"/>
      <c r="DD3" s="39"/>
      <c r="DE3" s="18"/>
      <c r="DF3" s="37" t="s">
        <v>62</v>
      </c>
      <c r="DG3" s="38"/>
      <c r="DH3" s="38"/>
      <c r="DI3" s="38"/>
      <c r="DJ3" s="38"/>
      <c r="DK3" s="38"/>
      <c r="DL3" s="38"/>
      <c r="DM3" s="38"/>
      <c r="DN3" s="38"/>
      <c r="DO3" s="39"/>
      <c r="DP3" s="18"/>
      <c r="DQ3" s="40" t="s">
        <v>63</v>
      </c>
      <c r="DR3" s="41"/>
      <c r="DS3" s="41"/>
      <c r="DT3" s="41"/>
      <c r="DU3" s="41"/>
      <c r="DV3" s="41"/>
      <c r="DW3" s="41"/>
      <c r="DX3" s="41"/>
      <c r="DY3" s="41"/>
      <c r="DZ3" s="42"/>
      <c r="EB3" s="37" t="s">
        <v>64</v>
      </c>
      <c r="EC3" s="38"/>
      <c r="ED3" s="38"/>
      <c r="EE3" s="38"/>
      <c r="EF3" s="38"/>
      <c r="EG3" s="38"/>
      <c r="EH3" s="38"/>
      <c r="EI3" s="38"/>
      <c r="EJ3" s="38"/>
      <c r="EK3" s="39"/>
      <c r="EL3" s="18"/>
      <c r="EM3" s="37" t="s">
        <v>65</v>
      </c>
      <c r="EN3" s="38"/>
      <c r="EO3" s="38"/>
      <c r="EP3" s="38"/>
      <c r="EQ3" s="38"/>
      <c r="ER3" s="38"/>
      <c r="ES3" s="38"/>
      <c r="ET3" s="38"/>
      <c r="EU3" s="38"/>
      <c r="EV3" s="39"/>
      <c r="EW3" s="18"/>
      <c r="EX3" s="40" t="s">
        <v>66</v>
      </c>
      <c r="EY3" s="41"/>
      <c r="EZ3" s="41"/>
      <c r="FA3" s="41"/>
      <c r="FB3" s="41"/>
      <c r="FC3" s="41"/>
      <c r="FD3" s="41"/>
      <c r="FE3" s="41"/>
      <c r="FF3" s="41"/>
      <c r="FG3" s="42"/>
      <c r="FH3" s="25"/>
    </row>
    <row r="4" spans="1:165" ht="34.049999999999997" customHeight="1" x14ac:dyDescent="0.25">
      <c r="A4" s="49"/>
      <c r="B4" s="46"/>
      <c r="C4" s="54"/>
      <c r="D4" s="55"/>
      <c r="E4" s="55"/>
      <c r="F4" s="55"/>
      <c r="G4" s="56"/>
      <c r="H4" s="60"/>
      <c r="I4" s="61"/>
      <c r="J4" s="61"/>
      <c r="K4" s="61"/>
      <c r="L4" s="61"/>
      <c r="M4" s="62"/>
      <c r="N4" s="43" t="s">
        <v>12</v>
      </c>
      <c r="O4" s="43" t="s">
        <v>13</v>
      </c>
      <c r="P4" s="43" t="s">
        <v>14</v>
      </c>
      <c r="Q4" s="43" t="s">
        <v>15</v>
      </c>
      <c r="R4" s="43" t="s">
        <v>16</v>
      </c>
      <c r="S4" s="43" t="s">
        <v>17</v>
      </c>
      <c r="T4" s="43" t="s">
        <v>18</v>
      </c>
      <c r="U4" s="43" t="s">
        <v>19</v>
      </c>
      <c r="V4" s="43" t="s">
        <v>20</v>
      </c>
      <c r="W4" s="66" t="s">
        <v>21</v>
      </c>
      <c r="X4" s="43" t="s">
        <v>12</v>
      </c>
      <c r="Y4" s="43" t="s">
        <v>13</v>
      </c>
      <c r="Z4" s="43" t="s">
        <v>14</v>
      </c>
      <c r="AA4" s="43" t="s">
        <v>15</v>
      </c>
      <c r="AB4" s="43" t="s">
        <v>22</v>
      </c>
      <c r="AC4" s="43" t="s">
        <v>17</v>
      </c>
      <c r="AD4" s="43" t="s">
        <v>18</v>
      </c>
      <c r="AE4" s="43" t="s">
        <v>19</v>
      </c>
      <c r="AF4" s="43" t="s">
        <v>20</v>
      </c>
      <c r="AG4" s="44" t="s">
        <v>23</v>
      </c>
      <c r="AH4" s="43" t="s">
        <v>12</v>
      </c>
      <c r="AI4" s="43" t="s">
        <v>13</v>
      </c>
      <c r="AJ4" s="43" t="s">
        <v>14</v>
      </c>
      <c r="AK4" s="43" t="s">
        <v>15</v>
      </c>
      <c r="AL4" s="43" t="s">
        <v>22</v>
      </c>
      <c r="AM4" s="43" t="s">
        <v>17</v>
      </c>
      <c r="AN4" s="43" t="s">
        <v>18</v>
      </c>
      <c r="AO4" s="43" t="s">
        <v>19</v>
      </c>
      <c r="AP4" s="43" t="s">
        <v>20</v>
      </c>
      <c r="AQ4" s="44" t="s">
        <v>23</v>
      </c>
      <c r="AR4" s="49"/>
      <c r="AS4" s="43" t="s">
        <v>12</v>
      </c>
      <c r="AT4" s="43" t="s">
        <v>13</v>
      </c>
      <c r="AU4" s="43" t="s">
        <v>14</v>
      </c>
      <c r="AV4" s="43" t="s">
        <v>15</v>
      </c>
      <c r="AW4" s="43" t="s">
        <v>22</v>
      </c>
      <c r="AX4" s="43" t="s">
        <v>17</v>
      </c>
      <c r="AY4" s="43" t="s">
        <v>18</v>
      </c>
      <c r="AZ4" s="77" t="s">
        <v>57</v>
      </c>
      <c r="BA4" s="43" t="s">
        <v>20</v>
      </c>
      <c r="BB4" s="44" t="s">
        <v>23</v>
      </c>
      <c r="BC4" s="43" t="s">
        <v>12</v>
      </c>
      <c r="BD4" s="43" t="s">
        <v>13</v>
      </c>
      <c r="BE4" s="43" t="s">
        <v>14</v>
      </c>
      <c r="BF4" s="43" t="s">
        <v>15</v>
      </c>
      <c r="BG4" s="43" t="s">
        <v>22</v>
      </c>
      <c r="BH4" s="43" t="s">
        <v>17</v>
      </c>
      <c r="BI4" s="43" t="s">
        <v>18</v>
      </c>
      <c r="BJ4" s="43" t="s">
        <v>19</v>
      </c>
      <c r="BK4" s="43" t="s">
        <v>20</v>
      </c>
      <c r="BL4" s="44" t="s">
        <v>23</v>
      </c>
      <c r="BM4" s="27"/>
      <c r="BN4" s="43" t="s">
        <v>12</v>
      </c>
      <c r="BO4" s="43" t="s">
        <v>13</v>
      </c>
      <c r="BP4" s="43" t="s">
        <v>14</v>
      </c>
      <c r="BQ4" s="43" t="s">
        <v>15</v>
      </c>
      <c r="BR4" s="43" t="s">
        <v>22</v>
      </c>
      <c r="BS4" s="43" t="s">
        <v>17</v>
      </c>
      <c r="BT4" s="43" t="s">
        <v>18</v>
      </c>
      <c r="BU4" s="43" t="s">
        <v>19</v>
      </c>
      <c r="BV4" s="43" t="s">
        <v>20</v>
      </c>
      <c r="BW4" s="44" t="s">
        <v>23</v>
      </c>
      <c r="BX4" s="19"/>
      <c r="BY4" s="43" t="s">
        <v>12</v>
      </c>
      <c r="BZ4" s="43" t="s">
        <v>13</v>
      </c>
      <c r="CA4" s="43" t="s">
        <v>14</v>
      </c>
      <c r="CB4" s="43" t="s">
        <v>15</v>
      </c>
      <c r="CC4" s="43" t="s">
        <v>22</v>
      </c>
      <c r="CD4" s="43" t="s">
        <v>17</v>
      </c>
      <c r="CE4" s="43" t="s">
        <v>18</v>
      </c>
      <c r="CF4" s="43" t="s">
        <v>19</v>
      </c>
      <c r="CG4" s="43" t="s">
        <v>20</v>
      </c>
      <c r="CH4" s="44" t="s">
        <v>23</v>
      </c>
      <c r="CI4" s="19"/>
      <c r="CJ4" s="33" t="s">
        <v>12</v>
      </c>
      <c r="CK4" s="33" t="s">
        <v>13</v>
      </c>
      <c r="CL4" s="33" t="s">
        <v>14</v>
      </c>
      <c r="CM4" s="33" t="s">
        <v>15</v>
      </c>
      <c r="CN4" s="33" t="s">
        <v>22</v>
      </c>
      <c r="CO4" s="33" t="s">
        <v>17</v>
      </c>
      <c r="CP4" s="33" t="s">
        <v>18</v>
      </c>
      <c r="CQ4" s="33" t="s">
        <v>19</v>
      </c>
      <c r="CR4" s="33" t="s">
        <v>20</v>
      </c>
      <c r="CS4" s="35" t="s">
        <v>23</v>
      </c>
      <c r="CU4" s="43" t="s">
        <v>12</v>
      </c>
      <c r="CV4" s="43" t="s">
        <v>13</v>
      </c>
      <c r="CW4" s="43" t="s">
        <v>14</v>
      </c>
      <c r="CX4" s="43" t="s">
        <v>15</v>
      </c>
      <c r="CY4" s="43" t="s">
        <v>22</v>
      </c>
      <c r="CZ4" s="43" t="s">
        <v>17</v>
      </c>
      <c r="DA4" s="43" t="s">
        <v>18</v>
      </c>
      <c r="DB4" s="43" t="s">
        <v>19</v>
      </c>
      <c r="DC4" s="43" t="s">
        <v>20</v>
      </c>
      <c r="DD4" s="44" t="s">
        <v>23</v>
      </c>
      <c r="DE4" s="19"/>
      <c r="DF4" s="43" t="s">
        <v>12</v>
      </c>
      <c r="DG4" s="43" t="s">
        <v>13</v>
      </c>
      <c r="DH4" s="43" t="s">
        <v>14</v>
      </c>
      <c r="DI4" s="43" t="s">
        <v>15</v>
      </c>
      <c r="DJ4" s="43" t="s">
        <v>22</v>
      </c>
      <c r="DK4" s="43" t="s">
        <v>17</v>
      </c>
      <c r="DL4" s="43" t="s">
        <v>18</v>
      </c>
      <c r="DM4" s="43" t="s">
        <v>19</v>
      </c>
      <c r="DN4" s="43" t="s">
        <v>20</v>
      </c>
      <c r="DO4" s="44" t="s">
        <v>23</v>
      </c>
      <c r="DP4" s="19"/>
      <c r="DQ4" s="33" t="s">
        <v>12</v>
      </c>
      <c r="DR4" s="33" t="s">
        <v>13</v>
      </c>
      <c r="DS4" s="33" t="s">
        <v>14</v>
      </c>
      <c r="DT4" s="33" t="s">
        <v>15</v>
      </c>
      <c r="DU4" s="33" t="s">
        <v>22</v>
      </c>
      <c r="DV4" s="33" t="s">
        <v>17</v>
      </c>
      <c r="DW4" s="33" t="s">
        <v>18</v>
      </c>
      <c r="DX4" s="33" t="s">
        <v>19</v>
      </c>
      <c r="DY4" s="33" t="s">
        <v>20</v>
      </c>
      <c r="DZ4" s="35" t="s">
        <v>23</v>
      </c>
      <c r="EB4" s="43" t="s">
        <v>12</v>
      </c>
      <c r="EC4" s="43" t="s">
        <v>13</v>
      </c>
      <c r="ED4" s="43" t="s">
        <v>14</v>
      </c>
      <c r="EE4" s="43" t="s">
        <v>15</v>
      </c>
      <c r="EF4" s="43" t="s">
        <v>22</v>
      </c>
      <c r="EG4" s="43" t="s">
        <v>17</v>
      </c>
      <c r="EH4" s="43" t="s">
        <v>18</v>
      </c>
      <c r="EI4" s="43" t="s">
        <v>19</v>
      </c>
      <c r="EJ4" s="43" t="s">
        <v>20</v>
      </c>
      <c r="EK4" s="44" t="s">
        <v>23</v>
      </c>
      <c r="EL4" s="19"/>
      <c r="EM4" s="43" t="s">
        <v>12</v>
      </c>
      <c r="EN4" s="43" t="s">
        <v>13</v>
      </c>
      <c r="EO4" s="43" t="s">
        <v>14</v>
      </c>
      <c r="EP4" s="43" t="s">
        <v>15</v>
      </c>
      <c r="EQ4" s="43" t="s">
        <v>22</v>
      </c>
      <c r="ER4" s="43" t="s">
        <v>17</v>
      </c>
      <c r="ES4" s="43" t="s">
        <v>18</v>
      </c>
      <c r="ET4" s="43" t="s">
        <v>19</v>
      </c>
      <c r="EU4" s="43" t="s">
        <v>20</v>
      </c>
      <c r="EV4" s="44" t="s">
        <v>23</v>
      </c>
      <c r="EW4" s="19"/>
      <c r="EX4" s="33" t="s">
        <v>12</v>
      </c>
      <c r="EY4" s="33" t="s">
        <v>13</v>
      </c>
      <c r="EZ4" s="33" t="s">
        <v>14</v>
      </c>
      <c r="FA4" s="33" t="s">
        <v>15</v>
      </c>
      <c r="FB4" s="33" t="s">
        <v>22</v>
      </c>
      <c r="FC4" s="33" t="s">
        <v>17</v>
      </c>
      <c r="FD4" s="33" t="s">
        <v>18</v>
      </c>
      <c r="FE4" s="33" t="s">
        <v>19</v>
      </c>
      <c r="FF4" s="33" t="s">
        <v>20</v>
      </c>
      <c r="FG4" s="35" t="s">
        <v>23</v>
      </c>
      <c r="FH4" s="25"/>
    </row>
    <row r="5" spans="1:165" ht="15" customHeight="1" x14ac:dyDescent="0.25">
      <c r="A5" s="50"/>
      <c r="B5" s="47"/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34"/>
      <c r="O5" s="34"/>
      <c r="P5" s="34"/>
      <c r="Q5" s="34"/>
      <c r="R5" s="34"/>
      <c r="S5" s="34"/>
      <c r="T5" s="34"/>
      <c r="U5" s="34"/>
      <c r="V5" s="34"/>
      <c r="W5" s="67"/>
      <c r="X5" s="34"/>
      <c r="Y5" s="34"/>
      <c r="Z5" s="34"/>
      <c r="AA5" s="34"/>
      <c r="AB5" s="34"/>
      <c r="AC5" s="34"/>
      <c r="AD5" s="34"/>
      <c r="AE5" s="34"/>
      <c r="AF5" s="34"/>
      <c r="AG5" s="36"/>
      <c r="AH5" s="34"/>
      <c r="AI5" s="34"/>
      <c r="AJ5" s="34"/>
      <c r="AK5" s="34"/>
      <c r="AL5" s="34"/>
      <c r="AM5" s="34"/>
      <c r="AN5" s="34"/>
      <c r="AO5" s="34"/>
      <c r="AP5" s="34"/>
      <c r="AQ5" s="36"/>
      <c r="AR5" s="50"/>
      <c r="AS5" s="34"/>
      <c r="AT5" s="34"/>
      <c r="AU5" s="34"/>
      <c r="AV5" s="34"/>
      <c r="AW5" s="34"/>
      <c r="AX5" s="34"/>
      <c r="AY5" s="34"/>
      <c r="AZ5" s="78"/>
      <c r="BA5" s="34"/>
      <c r="BB5" s="36"/>
      <c r="BC5" s="34"/>
      <c r="BD5" s="34"/>
      <c r="BE5" s="34"/>
      <c r="BF5" s="34"/>
      <c r="BG5" s="34"/>
      <c r="BH5" s="34"/>
      <c r="BI5" s="34"/>
      <c r="BJ5" s="34"/>
      <c r="BK5" s="34"/>
      <c r="BL5" s="36"/>
      <c r="BM5" s="28"/>
      <c r="BN5" s="34"/>
      <c r="BO5" s="34"/>
      <c r="BP5" s="34"/>
      <c r="BQ5" s="34"/>
      <c r="BR5" s="34"/>
      <c r="BS5" s="34"/>
      <c r="BT5" s="34"/>
      <c r="BU5" s="34"/>
      <c r="BV5" s="34"/>
      <c r="BW5" s="36"/>
      <c r="BX5" s="17"/>
      <c r="BY5" s="34"/>
      <c r="BZ5" s="34"/>
      <c r="CA5" s="34"/>
      <c r="CB5" s="34"/>
      <c r="CC5" s="34"/>
      <c r="CD5" s="34"/>
      <c r="CE5" s="34"/>
      <c r="CF5" s="34"/>
      <c r="CG5" s="34"/>
      <c r="CH5" s="36"/>
      <c r="CI5" s="17"/>
      <c r="CJ5" s="34"/>
      <c r="CK5" s="34"/>
      <c r="CL5" s="34"/>
      <c r="CM5" s="34"/>
      <c r="CN5" s="34"/>
      <c r="CO5" s="34"/>
      <c r="CP5" s="34"/>
      <c r="CQ5" s="34"/>
      <c r="CR5" s="34"/>
      <c r="CS5" s="36"/>
      <c r="CU5" s="34"/>
      <c r="CV5" s="34"/>
      <c r="CW5" s="34"/>
      <c r="CX5" s="34"/>
      <c r="CY5" s="34"/>
      <c r="CZ5" s="34"/>
      <c r="DA5" s="34"/>
      <c r="DB5" s="34"/>
      <c r="DC5" s="34"/>
      <c r="DD5" s="36"/>
      <c r="DE5" s="17"/>
      <c r="DF5" s="34"/>
      <c r="DG5" s="34"/>
      <c r="DH5" s="34"/>
      <c r="DI5" s="34"/>
      <c r="DJ5" s="34"/>
      <c r="DK5" s="34"/>
      <c r="DL5" s="34"/>
      <c r="DM5" s="34"/>
      <c r="DN5" s="34"/>
      <c r="DO5" s="36"/>
      <c r="DP5" s="17"/>
      <c r="DQ5" s="34"/>
      <c r="DR5" s="34"/>
      <c r="DS5" s="34"/>
      <c r="DT5" s="34"/>
      <c r="DU5" s="34"/>
      <c r="DV5" s="34"/>
      <c r="DW5" s="34"/>
      <c r="DX5" s="34"/>
      <c r="DY5" s="34"/>
      <c r="DZ5" s="36"/>
      <c r="EB5" s="34"/>
      <c r="EC5" s="34"/>
      <c r="ED5" s="34"/>
      <c r="EE5" s="34"/>
      <c r="EF5" s="34"/>
      <c r="EG5" s="34"/>
      <c r="EH5" s="34"/>
      <c r="EI5" s="34"/>
      <c r="EJ5" s="34"/>
      <c r="EK5" s="36"/>
      <c r="EL5" s="17"/>
      <c r="EM5" s="34"/>
      <c r="EN5" s="34"/>
      <c r="EO5" s="34"/>
      <c r="EP5" s="34"/>
      <c r="EQ5" s="34"/>
      <c r="ER5" s="34"/>
      <c r="ES5" s="34"/>
      <c r="ET5" s="34"/>
      <c r="EU5" s="34"/>
      <c r="EV5" s="36"/>
      <c r="EW5" s="17"/>
      <c r="EX5" s="34"/>
      <c r="EY5" s="34"/>
      <c r="EZ5" s="34"/>
      <c r="FA5" s="34"/>
      <c r="FB5" s="34"/>
      <c r="FC5" s="34"/>
      <c r="FD5" s="34"/>
      <c r="FE5" s="34"/>
      <c r="FF5" s="34"/>
      <c r="FG5" s="36"/>
      <c r="FH5" s="25"/>
    </row>
    <row r="6" spans="1:165" ht="16.8" customHeight="1" x14ac:dyDescent="0.25">
      <c r="A6" s="6" t="s">
        <v>30</v>
      </c>
      <c r="B6" s="5">
        <v>303175</v>
      </c>
      <c r="C6" s="5">
        <v>239</v>
      </c>
      <c r="D6" s="5">
        <v>228</v>
      </c>
      <c r="E6" s="5">
        <v>247</v>
      </c>
      <c r="F6" s="5">
        <v>165</v>
      </c>
      <c r="G6" s="5">
        <v>0</v>
      </c>
      <c r="H6" s="5">
        <v>6</v>
      </c>
      <c r="I6" s="5">
        <v>6</v>
      </c>
      <c r="J6" s="5">
        <v>7</v>
      </c>
      <c r="K6" s="5">
        <v>5</v>
      </c>
      <c r="L6" s="5">
        <v>0</v>
      </c>
      <c r="M6" s="7">
        <v>24</v>
      </c>
      <c r="N6" s="5">
        <v>4</v>
      </c>
      <c r="O6" s="5">
        <v>4</v>
      </c>
      <c r="P6" s="5">
        <v>4</v>
      </c>
      <c r="Q6" s="5">
        <v>4</v>
      </c>
      <c r="R6" s="5">
        <v>4</v>
      </c>
      <c r="S6" s="5">
        <v>4</v>
      </c>
      <c r="T6" s="5">
        <v>4</v>
      </c>
      <c r="U6" s="5">
        <v>5</v>
      </c>
      <c r="V6" s="5">
        <v>0</v>
      </c>
      <c r="W6" s="8">
        <v>33</v>
      </c>
      <c r="X6" s="5">
        <v>3</v>
      </c>
      <c r="Y6" s="5">
        <v>4</v>
      </c>
      <c r="Z6" s="5">
        <v>5</v>
      </c>
      <c r="AA6" s="5">
        <v>5</v>
      </c>
      <c r="AB6" s="5">
        <v>4</v>
      </c>
      <c r="AC6" s="5">
        <v>6</v>
      </c>
      <c r="AD6" s="5">
        <v>2</v>
      </c>
      <c r="AE6" s="5">
        <v>2</v>
      </c>
      <c r="AF6" s="5">
        <v>0</v>
      </c>
      <c r="AG6" s="9">
        <v>31</v>
      </c>
      <c r="AH6" s="10"/>
      <c r="AI6" s="10"/>
      <c r="AJ6" s="10"/>
      <c r="AK6" s="10"/>
      <c r="AL6" s="10"/>
      <c r="AM6" s="10"/>
      <c r="AN6" s="10"/>
      <c r="AO6" s="10"/>
      <c r="AP6" s="10"/>
      <c r="AQ6" s="11">
        <v>0</v>
      </c>
      <c r="AR6" s="6" t="s">
        <v>30</v>
      </c>
      <c r="AS6" s="10"/>
      <c r="AT6" s="10"/>
      <c r="AU6" s="10"/>
      <c r="AV6" s="10"/>
      <c r="AW6" s="10"/>
      <c r="AX6" s="10"/>
      <c r="AY6" s="10"/>
      <c r="AZ6" s="10"/>
      <c r="BA6" s="10"/>
      <c r="BB6" s="11">
        <v>0</v>
      </c>
      <c r="BC6" s="12">
        <v>1</v>
      </c>
      <c r="BD6" s="5">
        <v>0</v>
      </c>
      <c r="BE6" s="5">
        <v>-1</v>
      </c>
      <c r="BF6" s="5">
        <v>-1</v>
      </c>
      <c r="BG6" s="5">
        <v>0</v>
      </c>
      <c r="BH6" s="5">
        <v>-2</v>
      </c>
      <c r="BI6" s="12">
        <v>2</v>
      </c>
      <c r="BJ6" s="12">
        <v>3</v>
      </c>
      <c r="BK6" s="5">
        <v>0</v>
      </c>
      <c r="BL6" s="11">
        <v>2</v>
      </c>
      <c r="BM6" s="29"/>
      <c r="BN6" s="10"/>
      <c r="BO6" s="10"/>
      <c r="BP6" s="10"/>
      <c r="BQ6" s="10"/>
      <c r="BR6" s="10"/>
      <c r="BS6" s="10"/>
      <c r="BT6" s="10"/>
      <c r="BU6" s="10"/>
      <c r="BV6" s="10"/>
      <c r="BW6" s="11">
        <v>0</v>
      </c>
      <c r="BX6" s="5"/>
      <c r="BY6" s="10"/>
      <c r="BZ6" s="10"/>
      <c r="CA6" s="10"/>
      <c r="CB6" s="10"/>
      <c r="CC6" s="10"/>
      <c r="CD6" s="10"/>
      <c r="CE6" s="10"/>
      <c r="CF6" s="10"/>
      <c r="CG6" s="10"/>
      <c r="CH6" s="11">
        <v>0</v>
      </c>
      <c r="CI6" s="5"/>
      <c r="CJ6" s="12">
        <v>1</v>
      </c>
      <c r="CK6" s="5">
        <v>0</v>
      </c>
      <c r="CL6" s="5">
        <v>-1</v>
      </c>
      <c r="CM6" s="5">
        <v>-1</v>
      </c>
      <c r="CN6" s="5">
        <v>0</v>
      </c>
      <c r="CO6" s="5">
        <v>-2</v>
      </c>
      <c r="CP6" s="12">
        <v>2</v>
      </c>
      <c r="CQ6" s="12">
        <v>3</v>
      </c>
      <c r="CR6" s="5">
        <v>0</v>
      </c>
      <c r="CS6" s="11">
        <v>2</v>
      </c>
      <c r="CU6" s="10"/>
      <c r="CV6" s="10"/>
      <c r="CW6" s="10"/>
      <c r="CX6" s="10"/>
      <c r="CY6" s="10"/>
      <c r="CZ6" s="10"/>
      <c r="DA6" s="10"/>
      <c r="DB6" s="10"/>
      <c r="DC6" s="10"/>
      <c r="DD6" s="11">
        <v>0</v>
      </c>
      <c r="DE6" s="5"/>
      <c r="DF6" s="10"/>
      <c r="DG6" s="10"/>
      <c r="DH6" s="10"/>
      <c r="DI6" s="10"/>
      <c r="DJ6" s="10"/>
      <c r="DK6" s="10"/>
      <c r="DL6" s="10"/>
      <c r="DM6" s="10"/>
      <c r="DN6" s="10"/>
      <c r="DO6" s="11">
        <v>0</v>
      </c>
      <c r="DP6" s="5"/>
      <c r="DQ6" s="5"/>
      <c r="DR6" s="5"/>
      <c r="DS6" s="5"/>
      <c r="DT6" s="5"/>
      <c r="DU6" s="5"/>
      <c r="DV6" s="5"/>
      <c r="DW6" s="5"/>
      <c r="DX6" s="5"/>
      <c r="DY6" s="5"/>
      <c r="DZ6" s="11">
        <v>2</v>
      </c>
      <c r="EB6" s="10"/>
      <c r="EC6" s="10"/>
      <c r="ED6" s="10"/>
      <c r="EE6" s="10"/>
      <c r="EF6" s="10"/>
      <c r="EG6" s="10"/>
      <c r="EH6" s="10"/>
      <c r="EI6" s="10"/>
      <c r="EJ6" s="10"/>
      <c r="EK6" s="11">
        <v>0</v>
      </c>
      <c r="EL6" s="5"/>
      <c r="EM6" s="10"/>
      <c r="EN6" s="10"/>
      <c r="EO6" s="10"/>
      <c r="EP6" s="10"/>
      <c r="EQ6" s="10"/>
      <c r="ER6" s="10"/>
      <c r="ES6" s="10"/>
      <c r="ET6" s="10"/>
      <c r="EU6" s="10"/>
      <c r="EV6" s="11">
        <v>0</v>
      </c>
      <c r="EW6" s="5"/>
      <c r="EX6" s="5"/>
      <c r="EY6" s="5"/>
      <c r="EZ6" s="5"/>
      <c r="FA6" s="5"/>
      <c r="FB6" s="5"/>
      <c r="FC6" s="5"/>
      <c r="FD6" s="5"/>
      <c r="FE6" s="5"/>
      <c r="FF6" s="5"/>
      <c r="FG6" s="11">
        <v>2</v>
      </c>
      <c r="FH6" s="25"/>
    </row>
    <row r="7" spans="1:165" ht="16.8" customHeight="1" x14ac:dyDescent="0.25">
      <c r="A7" s="6" t="s">
        <v>31</v>
      </c>
      <c r="B7" s="5">
        <v>303172</v>
      </c>
      <c r="C7" s="13">
        <v>1217</v>
      </c>
      <c r="D7" s="13">
        <v>1159</v>
      </c>
      <c r="E7" s="13">
        <v>1194</v>
      </c>
      <c r="F7" s="5">
        <v>989</v>
      </c>
      <c r="G7" s="5">
        <v>0</v>
      </c>
      <c r="H7" s="5">
        <v>31</v>
      </c>
      <c r="I7" s="5">
        <v>29</v>
      </c>
      <c r="J7" s="5">
        <v>30</v>
      </c>
      <c r="K7" s="5">
        <v>25</v>
      </c>
      <c r="L7" s="5">
        <v>0</v>
      </c>
      <c r="M7" s="7">
        <v>115</v>
      </c>
      <c r="N7" s="5">
        <v>20</v>
      </c>
      <c r="O7" s="5">
        <v>20</v>
      </c>
      <c r="P7" s="5">
        <v>20</v>
      </c>
      <c r="Q7" s="5">
        <v>20</v>
      </c>
      <c r="R7" s="5">
        <v>20</v>
      </c>
      <c r="S7" s="5">
        <v>20</v>
      </c>
      <c r="T7" s="5">
        <v>20</v>
      </c>
      <c r="U7" s="5">
        <v>23</v>
      </c>
      <c r="V7" s="5">
        <v>0</v>
      </c>
      <c r="W7" s="8">
        <v>163</v>
      </c>
      <c r="X7" s="5">
        <v>29</v>
      </c>
      <c r="Y7" s="5">
        <v>23</v>
      </c>
      <c r="Z7" s="5">
        <v>19</v>
      </c>
      <c r="AA7" s="5">
        <v>19</v>
      </c>
      <c r="AB7" s="5">
        <v>17</v>
      </c>
      <c r="AC7" s="5">
        <v>28</v>
      </c>
      <c r="AD7" s="5">
        <v>21</v>
      </c>
      <c r="AE7" s="5">
        <v>8</v>
      </c>
      <c r="AF7" s="5">
        <v>2</v>
      </c>
      <c r="AG7" s="9">
        <v>166</v>
      </c>
      <c r="AH7" s="10"/>
      <c r="AI7" s="10"/>
      <c r="AJ7" s="10"/>
      <c r="AK7" s="10"/>
      <c r="AL7" s="10"/>
      <c r="AM7" s="10"/>
      <c r="AN7" s="10"/>
      <c r="AO7" s="10"/>
      <c r="AP7" s="10"/>
      <c r="AQ7" s="11">
        <v>0</v>
      </c>
      <c r="AR7" s="6" t="s">
        <v>31</v>
      </c>
      <c r="AS7" s="10"/>
      <c r="AT7" s="10"/>
      <c r="AU7" s="10"/>
      <c r="AV7" s="10"/>
      <c r="AW7" s="10"/>
      <c r="AX7" s="10"/>
      <c r="AY7" s="10"/>
      <c r="AZ7" s="10"/>
      <c r="BA7" s="10"/>
      <c r="BB7" s="11">
        <v>0</v>
      </c>
      <c r="BC7" s="5">
        <v>-9</v>
      </c>
      <c r="BD7" s="5">
        <v>-3</v>
      </c>
      <c r="BE7" s="12">
        <v>1</v>
      </c>
      <c r="BF7" s="12">
        <v>1</v>
      </c>
      <c r="BG7" s="12">
        <v>3</v>
      </c>
      <c r="BH7" s="5">
        <v>-8</v>
      </c>
      <c r="BI7" s="5">
        <v>-1</v>
      </c>
      <c r="BJ7" s="12">
        <v>15</v>
      </c>
      <c r="BK7" s="5">
        <v>-2</v>
      </c>
      <c r="BL7" s="5">
        <v>-1</v>
      </c>
      <c r="BM7" s="29"/>
      <c r="BN7" s="10"/>
      <c r="BO7" s="10"/>
      <c r="BP7" s="10"/>
      <c r="BQ7" s="10"/>
      <c r="BR7" s="10"/>
      <c r="BS7" s="10"/>
      <c r="BT7" s="10"/>
      <c r="BU7" s="10"/>
      <c r="BV7" s="10"/>
      <c r="BW7" s="11">
        <v>0</v>
      </c>
      <c r="BX7" s="5"/>
      <c r="BY7" s="10"/>
      <c r="BZ7" s="10"/>
      <c r="CA7" s="10"/>
      <c r="CB7" s="10"/>
      <c r="CC7" s="10"/>
      <c r="CD7" s="10"/>
      <c r="CE7" s="10"/>
      <c r="CF7" s="10"/>
      <c r="CG7" s="10"/>
      <c r="CH7" s="11">
        <v>0</v>
      </c>
      <c r="CI7" s="5"/>
      <c r="CJ7" s="5">
        <v>-9</v>
      </c>
      <c r="CK7" s="5">
        <v>-3</v>
      </c>
      <c r="CL7" s="12">
        <v>1</v>
      </c>
      <c r="CM7" s="12">
        <v>1</v>
      </c>
      <c r="CN7" s="12">
        <v>3</v>
      </c>
      <c r="CO7" s="5">
        <v>-8</v>
      </c>
      <c r="CP7" s="5">
        <v>-1</v>
      </c>
      <c r="CQ7" s="12">
        <v>15</v>
      </c>
      <c r="CR7" s="5">
        <v>-2</v>
      </c>
      <c r="CS7" s="5">
        <v>-1</v>
      </c>
      <c r="CU7" s="10"/>
      <c r="CV7" s="10"/>
      <c r="CW7" s="10"/>
      <c r="CX7" s="10"/>
      <c r="CY7" s="10"/>
      <c r="CZ7" s="10"/>
      <c r="DA7" s="10"/>
      <c r="DB7" s="10"/>
      <c r="DC7" s="10"/>
      <c r="DD7" s="11">
        <v>0</v>
      </c>
      <c r="DE7" s="5"/>
      <c r="DF7" s="10"/>
      <c r="DG7" s="10"/>
      <c r="DH7" s="10"/>
      <c r="DI7" s="10"/>
      <c r="DJ7" s="10"/>
      <c r="DK7" s="10"/>
      <c r="DL7" s="10"/>
      <c r="DM7" s="10"/>
      <c r="DN7" s="10"/>
      <c r="DO7" s="11">
        <v>0</v>
      </c>
      <c r="DP7" s="5"/>
      <c r="DQ7" s="5"/>
      <c r="DR7" s="5"/>
      <c r="DS7" s="5"/>
      <c r="DT7" s="5"/>
      <c r="DU7" s="5"/>
      <c r="DV7" s="5"/>
      <c r="DW7" s="5"/>
      <c r="DX7" s="5"/>
      <c r="DY7" s="5"/>
      <c r="DZ7" s="5">
        <v>-1</v>
      </c>
      <c r="EB7" s="10"/>
      <c r="EC7" s="10"/>
      <c r="ED7" s="10"/>
      <c r="EE7" s="10"/>
      <c r="EF7" s="10"/>
      <c r="EG7" s="10"/>
      <c r="EH7" s="10"/>
      <c r="EI7" s="10"/>
      <c r="EJ7" s="10"/>
      <c r="EK7" s="11">
        <v>0</v>
      </c>
      <c r="EL7" s="5"/>
      <c r="EM7" s="10"/>
      <c r="EN7" s="10"/>
      <c r="EO7" s="10"/>
      <c r="EP7" s="10"/>
      <c r="EQ7" s="31">
        <v>1</v>
      </c>
      <c r="ER7" s="10"/>
      <c r="ES7" s="10"/>
      <c r="ET7" s="10"/>
      <c r="EU7" s="10"/>
      <c r="EV7" s="11">
        <v>1</v>
      </c>
      <c r="EW7" s="5"/>
      <c r="EX7" s="32">
        <v>1</v>
      </c>
      <c r="EY7" s="5"/>
      <c r="EZ7" s="5"/>
      <c r="FA7" s="32">
        <v>1</v>
      </c>
      <c r="FB7" s="5"/>
      <c r="FC7" s="5"/>
      <c r="FD7" s="5"/>
      <c r="FE7" s="5"/>
      <c r="FF7" s="5"/>
      <c r="FG7" s="5">
        <v>-1</v>
      </c>
      <c r="FH7" s="81"/>
      <c r="FI7" s="82"/>
    </row>
    <row r="8" spans="1:165" ht="16.8" customHeight="1" x14ac:dyDescent="0.25">
      <c r="A8" s="6" t="s">
        <v>32</v>
      </c>
      <c r="B8" s="5">
        <v>303174</v>
      </c>
      <c r="C8" s="13">
        <v>1098</v>
      </c>
      <c r="D8" s="13">
        <v>1046</v>
      </c>
      <c r="E8" s="13">
        <v>1030</v>
      </c>
      <c r="F8" s="5">
        <v>811</v>
      </c>
      <c r="G8" s="5">
        <v>0</v>
      </c>
      <c r="H8" s="5">
        <v>28</v>
      </c>
      <c r="I8" s="5">
        <v>27</v>
      </c>
      <c r="J8" s="5">
        <v>26</v>
      </c>
      <c r="K8" s="5">
        <v>21</v>
      </c>
      <c r="L8" s="5">
        <v>0</v>
      </c>
      <c r="M8" s="7">
        <v>102</v>
      </c>
      <c r="N8" s="5">
        <v>17</v>
      </c>
      <c r="O8" s="5">
        <v>17</v>
      </c>
      <c r="P8" s="5">
        <v>17</v>
      </c>
      <c r="Q8" s="5">
        <v>17</v>
      </c>
      <c r="R8" s="5">
        <v>17</v>
      </c>
      <c r="S8" s="5">
        <v>17</v>
      </c>
      <c r="T8" s="5">
        <v>17</v>
      </c>
      <c r="U8" s="5">
        <v>20</v>
      </c>
      <c r="V8" s="5">
        <v>0</v>
      </c>
      <c r="W8" s="8">
        <v>139</v>
      </c>
      <c r="X8" s="5">
        <v>19</v>
      </c>
      <c r="Y8" s="5">
        <v>17</v>
      </c>
      <c r="Z8" s="5">
        <v>24</v>
      </c>
      <c r="AA8" s="5">
        <v>15</v>
      </c>
      <c r="AB8" s="5">
        <v>16</v>
      </c>
      <c r="AC8" s="5">
        <v>16</v>
      </c>
      <c r="AD8" s="5">
        <v>15</v>
      </c>
      <c r="AE8" s="5">
        <v>6</v>
      </c>
      <c r="AF8" s="5">
        <v>1</v>
      </c>
      <c r="AG8" s="9">
        <v>129</v>
      </c>
      <c r="AH8" s="10"/>
      <c r="AI8" s="10"/>
      <c r="AJ8" s="10"/>
      <c r="AK8" s="10"/>
      <c r="AL8" s="10"/>
      <c r="AM8" s="12">
        <v>1</v>
      </c>
      <c r="AN8" s="10"/>
      <c r="AO8" s="10"/>
      <c r="AP8" s="10"/>
      <c r="AQ8" s="11">
        <v>1</v>
      </c>
      <c r="AR8" s="6" t="s">
        <v>32</v>
      </c>
      <c r="AS8" s="10"/>
      <c r="AT8" s="10"/>
      <c r="AU8" s="10"/>
      <c r="AV8" s="10"/>
      <c r="AW8" s="10"/>
      <c r="AX8" s="10"/>
      <c r="AY8" s="10"/>
      <c r="AZ8" s="10"/>
      <c r="BA8" s="10"/>
      <c r="BB8" s="11">
        <v>0</v>
      </c>
      <c r="BC8" s="5">
        <v>-2</v>
      </c>
      <c r="BD8" s="5">
        <v>0</v>
      </c>
      <c r="BE8" s="5">
        <v>-7</v>
      </c>
      <c r="BF8" s="12">
        <v>2</v>
      </c>
      <c r="BG8" s="12">
        <v>1</v>
      </c>
      <c r="BH8" s="5">
        <v>0</v>
      </c>
      <c r="BI8" s="12">
        <v>2</v>
      </c>
      <c r="BJ8" s="12">
        <v>14</v>
      </c>
      <c r="BK8" s="5">
        <v>-1</v>
      </c>
      <c r="BL8" s="11">
        <v>11</v>
      </c>
      <c r="BM8" s="29"/>
      <c r="BN8" s="10"/>
      <c r="BO8" s="10"/>
      <c r="BP8" s="10"/>
      <c r="BQ8" s="10"/>
      <c r="BR8" s="10"/>
      <c r="BS8" s="10"/>
      <c r="BT8" s="10"/>
      <c r="BU8" s="10"/>
      <c r="BV8" s="10"/>
      <c r="BW8" s="11">
        <v>0</v>
      </c>
      <c r="BX8" s="5"/>
      <c r="BY8" s="10"/>
      <c r="BZ8" s="10"/>
      <c r="CA8" s="10"/>
      <c r="CB8" s="10"/>
      <c r="CC8" s="10"/>
      <c r="CD8" s="21">
        <v>1</v>
      </c>
      <c r="CE8" s="10"/>
      <c r="CF8" s="10"/>
      <c r="CG8" s="10"/>
      <c r="CH8" s="11">
        <v>1</v>
      </c>
      <c r="CI8" s="5"/>
      <c r="CJ8" s="5">
        <v>-2</v>
      </c>
      <c r="CK8" s="5">
        <v>0</v>
      </c>
      <c r="CL8" s="5">
        <v>-7</v>
      </c>
      <c r="CM8" s="12">
        <v>2</v>
      </c>
      <c r="CN8" s="12">
        <v>1</v>
      </c>
      <c r="CO8" s="5">
        <v>-1</v>
      </c>
      <c r="CP8" s="12">
        <v>2</v>
      </c>
      <c r="CQ8" s="12">
        <v>14</v>
      </c>
      <c r="CR8" s="5">
        <v>-1</v>
      </c>
      <c r="CS8" s="11">
        <v>10</v>
      </c>
      <c r="CU8" s="10"/>
      <c r="CV8" s="10"/>
      <c r="CW8" s="10"/>
      <c r="CX8" s="10"/>
      <c r="CY8" s="10"/>
      <c r="CZ8" s="10"/>
      <c r="DA8" s="10"/>
      <c r="DB8" s="10"/>
      <c r="DC8" s="10"/>
      <c r="DD8" s="11">
        <v>0</v>
      </c>
      <c r="DE8" s="5"/>
      <c r="DF8" s="10"/>
      <c r="DG8" s="10"/>
      <c r="DH8" s="10"/>
      <c r="DI8" s="10"/>
      <c r="DJ8" s="10"/>
      <c r="DK8" s="5"/>
      <c r="DL8" s="10"/>
      <c r="DM8" s="10"/>
      <c r="DN8" s="10"/>
      <c r="DO8" s="11">
        <v>0</v>
      </c>
      <c r="DP8" s="5"/>
      <c r="DQ8" s="5"/>
      <c r="DR8" s="5"/>
      <c r="DS8" s="5"/>
      <c r="DT8" s="32">
        <v>1</v>
      </c>
      <c r="DU8" s="5"/>
      <c r="DV8" s="5"/>
      <c r="DW8" s="5"/>
      <c r="DX8" s="5"/>
      <c r="DY8" s="5"/>
      <c r="DZ8" s="11">
        <v>10</v>
      </c>
      <c r="EB8" s="10"/>
      <c r="EC8" s="10"/>
      <c r="ED8" s="10"/>
      <c r="EE8" s="10"/>
      <c r="EF8" s="10"/>
      <c r="EG8" s="10"/>
      <c r="EH8" s="10"/>
      <c r="EI8" s="10"/>
      <c r="EJ8" s="10"/>
      <c r="EK8" s="11">
        <v>0</v>
      </c>
      <c r="EL8" s="5"/>
      <c r="EM8" s="10"/>
      <c r="EN8" s="10"/>
      <c r="EO8" s="10"/>
      <c r="EP8" s="10"/>
      <c r="EQ8" s="10"/>
      <c r="ER8" s="5"/>
      <c r="ES8" s="10"/>
      <c r="ET8" s="10"/>
      <c r="EU8" s="10"/>
      <c r="EV8" s="11">
        <v>0</v>
      </c>
      <c r="EW8" s="5"/>
      <c r="EX8" s="5"/>
      <c r="EY8" s="5"/>
      <c r="EZ8" s="5"/>
      <c r="FA8" s="5"/>
      <c r="FB8" s="5"/>
      <c r="FC8" s="5"/>
      <c r="FD8" s="5"/>
      <c r="FE8" s="5"/>
      <c r="FF8" s="5"/>
      <c r="FG8" s="11">
        <v>10</v>
      </c>
      <c r="FH8" s="25"/>
    </row>
    <row r="9" spans="1:165" ht="16.8" customHeight="1" x14ac:dyDescent="0.25">
      <c r="A9" s="6" t="s">
        <v>33</v>
      </c>
      <c r="B9" s="5">
        <v>303181</v>
      </c>
      <c r="C9" s="5">
        <v>192</v>
      </c>
      <c r="D9" s="5">
        <v>183</v>
      </c>
      <c r="E9" s="5">
        <v>176</v>
      </c>
      <c r="F9" s="5">
        <v>143</v>
      </c>
      <c r="G9" s="5">
        <v>0</v>
      </c>
      <c r="H9" s="5">
        <v>5</v>
      </c>
      <c r="I9" s="5">
        <v>5</v>
      </c>
      <c r="J9" s="5">
        <v>5</v>
      </c>
      <c r="K9" s="5">
        <v>4</v>
      </c>
      <c r="L9" s="5">
        <v>0</v>
      </c>
      <c r="M9" s="7">
        <v>19</v>
      </c>
      <c r="N9" s="5">
        <v>4</v>
      </c>
      <c r="O9" s="5">
        <v>4</v>
      </c>
      <c r="P9" s="5">
        <v>4</v>
      </c>
      <c r="Q9" s="5">
        <v>4</v>
      </c>
      <c r="R9" s="5">
        <v>4</v>
      </c>
      <c r="S9" s="5">
        <v>4</v>
      </c>
      <c r="T9" s="5">
        <v>4</v>
      </c>
      <c r="U9" s="5">
        <v>4</v>
      </c>
      <c r="V9" s="5">
        <v>0</v>
      </c>
      <c r="W9" s="8">
        <v>32</v>
      </c>
      <c r="X9" s="5">
        <v>3</v>
      </c>
      <c r="Y9" s="5">
        <v>3</v>
      </c>
      <c r="Z9" s="5">
        <v>4</v>
      </c>
      <c r="AA9" s="5">
        <v>3</v>
      </c>
      <c r="AB9" s="5">
        <v>3</v>
      </c>
      <c r="AC9" s="5">
        <v>3</v>
      </c>
      <c r="AD9" s="5">
        <v>2</v>
      </c>
      <c r="AE9" s="5">
        <v>0</v>
      </c>
      <c r="AF9" s="5">
        <v>0</v>
      </c>
      <c r="AG9" s="9">
        <v>21</v>
      </c>
      <c r="AH9" s="10"/>
      <c r="AI9" s="10"/>
      <c r="AJ9" s="10"/>
      <c r="AK9" s="10"/>
      <c r="AL9" s="10"/>
      <c r="AM9" s="10"/>
      <c r="AN9" s="10"/>
      <c r="AO9" s="10"/>
      <c r="AP9" s="10"/>
      <c r="AQ9" s="11">
        <v>0</v>
      </c>
      <c r="AR9" s="6" t="s">
        <v>33</v>
      </c>
      <c r="AS9" s="10"/>
      <c r="AT9" s="10"/>
      <c r="AU9" s="10"/>
      <c r="AV9" s="10"/>
      <c r="AW9" s="10"/>
      <c r="AX9" s="10"/>
      <c r="AY9" s="10"/>
      <c r="AZ9" s="10"/>
      <c r="BA9" s="10"/>
      <c r="BB9" s="11">
        <v>0</v>
      </c>
      <c r="BC9" s="12">
        <v>1</v>
      </c>
      <c r="BD9" s="12">
        <v>1</v>
      </c>
      <c r="BE9" s="5">
        <v>0</v>
      </c>
      <c r="BF9" s="12">
        <v>1</v>
      </c>
      <c r="BG9" s="12">
        <v>1</v>
      </c>
      <c r="BH9" s="12">
        <v>1</v>
      </c>
      <c r="BI9" s="12">
        <v>2</v>
      </c>
      <c r="BJ9" s="12">
        <v>4</v>
      </c>
      <c r="BK9" s="5">
        <v>0</v>
      </c>
      <c r="BL9" s="11">
        <v>11</v>
      </c>
      <c r="BM9" s="29"/>
      <c r="BN9" s="10"/>
      <c r="BO9" s="10"/>
      <c r="BP9" s="10"/>
      <c r="BQ9" s="10"/>
      <c r="BR9" s="10"/>
      <c r="BS9" s="10"/>
      <c r="BT9" s="10"/>
      <c r="BU9" s="10"/>
      <c r="BV9" s="10"/>
      <c r="BW9" s="11">
        <v>0</v>
      </c>
      <c r="BX9" s="5"/>
      <c r="BY9" s="10"/>
      <c r="BZ9" s="10"/>
      <c r="CA9" s="10"/>
      <c r="CB9" s="10"/>
      <c r="CC9" s="10"/>
      <c r="CD9" s="10"/>
      <c r="CE9" s="24">
        <v>3</v>
      </c>
      <c r="CF9" s="10"/>
      <c r="CG9" s="10"/>
      <c r="CH9" s="11">
        <v>3</v>
      </c>
      <c r="CI9" s="5"/>
      <c r="CJ9" s="79">
        <v>1</v>
      </c>
      <c r="CK9" s="32">
        <f>BD9-2</f>
        <v>-1</v>
      </c>
      <c r="CL9" s="5">
        <v>0</v>
      </c>
      <c r="CM9" s="79">
        <v>1</v>
      </c>
      <c r="CN9" s="32">
        <v>-2</v>
      </c>
      <c r="CO9" s="12">
        <v>1</v>
      </c>
      <c r="CP9" s="32">
        <f>BI9-CE9</f>
        <v>-1</v>
      </c>
      <c r="CQ9" s="79">
        <v>4</v>
      </c>
      <c r="CR9" s="5">
        <v>0</v>
      </c>
      <c r="CS9" s="11">
        <v>3</v>
      </c>
      <c r="CU9" s="10"/>
      <c r="CV9" s="10"/>
      <c r="CW9" s="10"/>
      <c r="CX9" s="10"/>
      <c r="CY9" s="10"/>
      <c r="CZ9" s="10"/>
      <c r="DA9" s="10"/>
      <c r="DB9" s="10"/>
      <c r="DC9" s="10"/>
      <c r="DD9" s="11">
        <v>0</v>
      </c>
      <c r="DE9" s="5"/>
      <c r="DF9" s="10"/>
      <c r="DG9" s="10"/>
      <c r="DH9" s="10"/>
      <c r="DI9" s="10"/>
      <c r="DJ9" s="10"/>
      <c r="DK9" s="10"/>
      <c r="DL9" s="10"/>
      <c r="DM9" s="10"/>
      <c r="DN9" s="10"/>
      <c r="DO9" s="11">
        <v>0</v>
      </c>
      <c r="DP9" s="5"/>
      <c r="DQ9" s="5"/>
      <c r="DR9" s="5"/>
      <c r="DS9" s="5"/>
      <c r="DT9" s="32">
        <v>1</v>
      </c>
      <c r="DU9" s="32">
        <v>1</v>
      </c>
      <c r="DV9" s="5"/>
      <c r="DW9" s="32">
        <v>1</v>
      </c>
      <c r="DX9" s="5"/>
      <c r="DY9" s="5"/>
      <c r="DZ9" s="11">
        <v>0</v>
      </c>
      <c r="EB9" s="10"/>
      <c r="EC9" s="10"/>
      <c r="ED9" s="10"/>
      <c r="EE9" s="10"/>
      <c r="EF9" s="10"/>
      <c r="EG9" s="10"/>
      <c r="EH9" s="10"/>
      <c r="EI9" s="10"/>
      <c r="EJ9" s="10"/>
      <c r="EK9" s="11">
        <v>0</v>
      </c>
      <c r="EL9" s="5"/>
      <c r="EM9" s="10"/>
      <c r="EN9" s="10"/>
      <c r="EO9" s="10"/>
      <c r="EP9" s="10"/>
      <c r="EQ9" s="10"/>
      <c r="ER9" s="10"/>
      <c r="ES9" s="10"/>
      <c r="ET9" s="10"/>
      <c r="EU9" s="10"/>
      <c r="EV9" s="11">
        <v>0</v>
      </c>
      <c r="EW9" s="5"/>
      <c r="EX9" s="5"/>
      <c r="EY9" s="5"/>
      <c r="EZ9" s="5"/>
      <c r="FA9" s="5"/>
      <c r="FB9" s="5"/>
      <c r="FC9" s="5"/>
      <c r="FD9" s="5"/>
      <c r="FE9" s="5"/>
      <c r="FF9" s="5"/>
      <c r="FG9" s="11">
        <v>0</v>
      </c>
      <c r="FH9" s="25"/>
    </row>
    <row r="10" spans="1:165" ht="16.8" customHeight="1" x14ac:dyDescent="0.25">
      <c r="A10" s="6" t="s">
        <v>34</v>
      </c>
      <c r="B10" s="5">
        <v>305691</v>
      </c>
      <c r="C10" s="5">
        <v>159</v>
      </c>
      <c r="D10" s="5">
        <v>151</v>
      </c>
      <c r="E10" s="5">
        <v>151</v>
      </c>
      <c r="F10" s="5">
        <v>142</v>
      </c>
      <c r="G10" s="5">
        <v>0</v>
      </c>
      <c r="H10" s="5">
        <v>4</v>
      </c>
      <c r="I10" s="5">
        <v>4</v>
      </c>
      <c r="J10" s="5">
        <v>4</v>
      </c>
      <c r="K10" s="5">
        <v>4</v>
      </c>
      <c r="L10" s="5">
        <v>0</v>
      </c>
      <c r="M10" s="7">
        <v>16</v>
      </c>
      <c r="N10" s="5">
        <v>3</v>
      </c>
      <c r="O10" s="5">
        <v>3</v>
      </c>
      <c r="P10" s="5">
        <v>3</v>
      </c>
      <c r="Q10" s="5">
        <v>3</v>
      </c>
      <c r="R10" s="5">
        <v>3</v>
      </c>
      <c r="S10" s="5">
        <v>3</v>
      </c>
      <c r="T10" s="5">
        <v>3</v>
      </c>
      <c r="U10" s="5">
        <v>3</v>
      </c>
      <c r="V10" s="5">
        <v>0</v>
      </c>
      <c r="W10" s="8">
        <v>24</v>
      </c>
      <c r="X10" s="5">
        <v>3</v>
      </c>
      <c r="Y10" s="5">
        <v>4</v>
      </c>
      <c r="Z10" s="5">
        <v>4</v>
      </c>
      <c r="AA10" s="5">
        <v>1</v>
      </c>
      <c r="AB10" s="5">
        <v>2</v>
      </c>
      <c r="AC10" s="5">
        <v>3</v>
      </c>
      <c r="AD10" s="5">
        <v>2</v>
      </c>
      <c r="AE10" s="5">
        <v>0</v>
      </c>
      <c r="AF10" s="5">
        <v>0</v>
      </c>
      <c r="AG10" s="9">
        <v>19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1">
        <v>0</v>
      </c>
      <c r="AR10" s="6" t="s">
        <v>34</v>
      </c>
      <c r="AS10" s="10"/>
      <c r="AT10" s="10"/>
      <c r="AU10" s="10"/>
      <c r="AV10" s="10"/>
      <c r="AW10" s="10"/>
      <c r="AX10" s="10"/>
      <c r="AY10" s="10"/>
      <c r="AZ10" s="10"/>
      <c r="BA10" s="10"/>
      <c r="BB10" s="11">
        <v>0</v>
      </c>
      <c r="BC10" s="5">
        <v>0</v>
      </c>
      <c r="BD10" s="5">
        <v>-1</v>
      </c>
      <c r="BE10" s="5">
        <v>-1</v>
      </c>
      <c r="BF10" s="12">
        <v>2</v>
      </c>
      <c r="BG10" s="12">
        <v>1</v>
      </c>
      <c r="BH10" s="5">
        <v>0</v>
      </c>
      <c r="BI10" s="12">
        <v>1</v>
      </c>
      <c r="BJ10" s="12">
        <v>3</v>
      </c>
      <c r="BK10" s="5">
        <v>0</v>
      </c>
      <c r="BL10" s="11">
        <v>5</v>
      </c>
      <c r="BM10" s="29"/>
      <c r="BN10" s="10"/>
      <c r="BO10" s="10"/>
      <c r="BP10" s="10"/>
      <c r="BQ10" s="10"/>
      <c r="BR10" s="10"/>
      <c r="BS10" s="10"/>
      <c r="BT10" s="10"/>
      <c r="BU10" s="10"/>
      <c r="BV10" s="10"/>
      <c r="BW10" s="11">
        <v>0</v>
      </c>
      <c r="BX10" s="5"/>
      <c r="BY10" s="10"/>
      <c r="BZ10" s="10"/>
      <c r="CA10" s="10"/>
      <c r="CB10" s="10"/>
      <c r="CC10" s="10"/>
      <c r="CD10" s="24">
        <v>1</v>
      </c>
      <c r="CE10" s="10"/>
      <c r="CF10" s="10"/>
      <c r="CG10" s="10"/>
      <c r="CH10" s="11">
        <v>0</v>
      </c>
      <c r="CI10" s="5"/>
      <c r="CJ10" s="5">
        <v>0</v>
      </c>
      <c r="CK10" s="5">
        <v>-1</v>
      </c>
      <c r="CL10" s="5">
        <v>-1</v>
      </c>
      <c r="CM10" s="12">
        <v>2</v>
      </c>
      <c r="CN10" s="32">
        <v>0</v>
      </c>
      <c r="CO10" s="32">
        <v>-1</v>
      </c>
      <c r="CP10" s="12">
        <v>1</v>
      </c>
      <c r="CQ10" s="12">
        <v>3</v>
      </c>
      <c r="CR10" s="5">
        <v>0</v>
      </c>
      <c r="CS10" s="11">
        <v>3</v>
      </c>
      <c r="CU10" s="10"/>
      <c r="CV10" s="10"/>
      <c r="CW10" s="10"/>
      <c r="CX10" s="10"/>
      <c r="CY10" s="10"/>
      <c r="CZ10" s="10"/>
      <c r="DA10" s="10"/>
      <c r="DB10" s="10"/>
      <c r="DC10" s="10"/>
      <c r="DD10" s="11">
        <v>0</v>
      </c>
      <c r="DE10" s="5"/>
      <c r="DF10" s="10"/>
      <c r="DG10" s="10"/>
      <c r="DH10" s="10"/>
      <c r="DI10" s="10"/>
      <c r="DJ10" s="10"/>
      <c r="DK10" s="10"/>
      <c r="DL10" s="10"/>
      <c r="DM10" s="10"/>
      <c r="DN10" s="10"/>
      <c r="DO10" s="11">
        <v>0</v>
      </c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11">
        <v>3</v>
      </c>
      <c r="EB10" s="10"/>
      <c r="EC10" s="10"/>
      <c r="ED10" s="10"/>
      <c r="EE10" s="10"/>
      <c r="EF10" s="10"/>
      <c r="EG10" s="10"/>
      <c r="EH10" s="10"/>
      <c r="EI10" s="10"/>
      <c r="EJ10" s="10"/>
      <c r="EK10" s="11">
        <v>0</v>
      </c>
      <c r="EL10" s="5"/>
      <c r="EM10" s="10"/>
      <c r="EN10" s="10"/>
      <c r="EO10" s="10"/>
      <c r="EP10" s="31">
        <v>1</v>
      </c>
      <c r="EQ10" s="10"/>
      <c r="ER10" s="10"/>
      <c r="ES10" s="10"/>
      <c r="ET10" s="10"/>
      <c r="EU10" s="10"/>
      <c r="EV10" s="11">
        <v>1</v>
      </c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11">
        <v>2</v>
      </c>
      <c r="FH10" s="25"/>
    </row>
    <row r="11" spans="1:165" ht="16.8" customHeight="1" x14ac:dyDescent="0.25">
      <c r="A11" s="6" t="s">
        <v>35</v>
      </c>
      <c r="B11" s="5">
        <v>502529</v>
      </c>
      <c r="C11" s="5">
        <v>18</v>
      </c>
      <c r="D11" s="5">
        <v>17</v>
      </c>
      <c r="E11" s="5">
        <v>19</v>
      </c>
      <c r="F11" s="5">
        <v>11</v>
      </c>
      <c r="G11" s="5">
        <v>0</v>
      </c>
      <c r="H11" s="5">
        <v>1</v>
      </c>
      <c r="I11" s="5">
        <v>1</v>
      </c>
      <c r="J11" s="5">
        <v>1</v>
      </c>
      <c r="K11" s="5">
        <v>1</v>
      </c>
      <c r="L11" s="5">
        <v>0</v>
      </c>
      <c r="M11" s="7">
        <v>4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0</v>
      </c>
      <c r="W11" s="8">
        <v>8</v>
      </c>
      <c r="X11" s="5">
        <v>0</v>
      </c>
      <c r="Y11" s="5">
        <v>1</v>
      </c>
      <c r="Z11" s="5">
        <v>3</v>
      </c>
      <c r="AA11" s="5">
        <v>1</v>
      </c>
      <c r="AB11" s="5">
        <v>1</v>
      </c>
      <c r="AC11" s="5">
        <v>0</v>
      </c>
      <c r="AD11" s="5">
        <v>1</v>
      </c>
      <c r="AE11" s="5">
        <v>0</v>
      </c>
      <c r="AF11" s="5">
        <v>0</v>
      </c>
      <c r="AG11" s="9">
        <v>7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1">
        <v>0</v>
      </c>
      <c r="AR11" s="6" t="s">
        <v>35</v>
      </c>
      <c r="AS11" s="10"/>
      <c r="AT11" s="10"/>
      <c r="AU11" s="10"/>
      <c r="AV11" s="10"/>
      <c r="AW11" s="10"/>
      <c r="AX11" s="10"/>
      <c r="AY11" s="10"/>
      <c r="AZ11" s="10"/>
      <c r="BA11" s="10"/>
      <c r="BB11" s="11">
        <v>0</v>
      </c>
      <c r="BC11" s="12">
        <v>1</v>
      </c>
      <c r="BD11" s="5">
        <v>0</v>
      </c>
      <c r="BE11" s="5">
        <v>-2</v>
      </c>
      <c r="BF11" s="5">
        <v>0</v>
      </c>
      <c r="BG11" s="5">
        <v>0</v>
      </c>
      <c r="BH11" s="12">
        <v>1</v>
      </c>
      <c r="BI11" s="5">
        <v>0</v>
      </c>
      <c r="BJ11" s="12">
        <v>1</v>
      </c>
      <c r="BK11" s="5">
        <v>0</v>
      </c>
      <c r="BL11" s="11">
        <v>1</v>
      </c>
      <c r="BM11" s="29"/>
      <c r="BN11" s="10"/>
      <c r="BO11" s="10"/>
      <c r="BP11" s="10"/>
      <c r="BQ11" s="10"/>
      <c r="BR11" s="10"/>
      <c r="BS11" s="10"/>
      <c r="BT11" s="10"/>
      <c r="BU11" s="10"/>
      <c r="BV11" s="10"/>
      <c r="BW11" s="11">
        <v>0</v>
      </c>
      <c r="BX11" s="5"/>
      <c r="BY11" s="10"/>
      <c r="BZ11" s="10"/>
      <c r="CA11" s="10"/>
      <c r="CB11" s="10"/>
      <c r="CC11" s="10"/>
      <c r="CD11" s="10"/>
      <c r="CE11" s="10"/>
      <c r="CF11" s="10"/>
      <c r="CG11" s="10"/>
      <c r="CH11" s="11">
        <v>0</v>
      </c>
      <c r="CI11" s="5"/>
      <c r="CJ11" s="32">
        <v>0</v>
      </c>
      <c r="CK11" s="5">
        <v>0</v>
      </c>
      <c r="CL11" s="5">
        <v>-2</v>
      </c>
      <c r="CM11" s="5">
        <v>0</v>
      </c>
      <c r="CN11" s="5">
        <v>0</v>
      </c>
      <c r="CO11" s="32">
        <v>0</v>
      </c>
      <c r="CP11" s="5">
        <v>0</v>
      </c>
      <c r="CQ11" s="12">
        <v>1</v>
      </c>
      <c r="CR11" s="5">
        <v>0</v>
      </c>
      <c r="CS11" s="11">
        <v>-1</v>
      </c>
      <c r="CU11" s="10"/>
      <c r="CV11" s="10"/>
      <c r="CW11" s="10"/>
      <c r="CX11" s="10"/>
      <c r="CY11" s="10"/>
      <c r="CZ11" s="10"/>
      <c r="DA11" s="10"/>
      <c r="DB11" s="10"/>
      <c r="DC11" s="10"/>
      <c r="DD11" s="11">
        <v>0</v>
      </c>
      <c r="DE11" s="5"/>
      <c r="DF11" s="10"/>
      <c r="DG11" s="10"/>
      <c r="DH11" s="10"/>
      <c r="DI11" s="10"/>
      <c r="DJ11" s="10"/>
      <c r="DK11" s="10"/>
      <c r="DL11" s="10"/>
      <c r="DM11" s="10"/>
      <c r="DN11" s="10"/>
      <c r="DO11" s="11">
        <v>0</v>
      </c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11">
        <v>-1</v>
      </c>
      <c r="EB11" s="10"/>
      <c r="EC11" s="10"/>
      <c r="ED11" s="10"/>
      <c r="EE11" s="10"/>
      <c r="EF11" s="10"/>
      <c r="EG11" s="10"/>
      <c r="EH11" s="10"/>
      <c r="EI11" s="10"/>
      <c r="EJ11" s="10"/>
      <c r="EK11" s="11">
        <v>0</v>
      </c>
      <c r="EL11" s="5"/>
      <c r="EM11" s="10"/>
      <c r="EN11" s="10"/>
      <c r="EO11" s="10"/>
      <c r="EP11" s="10"/>
      <c r="EQ11" s="10"/>
      <c r="ER11" s="10"/>
      <c r="ES11" s="10"/>
      <c r="ET11" s="10"/>
      <c r="EU11" s="10"/>
      <c r="EV11" s="11">
        <v>0</v>
      </c>
      <c r="EW11" s="5"/>
      <c r="EX11" s="5"/>
      <c r="EZ11" s="5"/>
      <c r="FA11" s="5"/>
      <c r="FB11" s="5"/>
      <c r="FC11" s="5"/>
      <c r="FD11" s="5"/>
      <c r="FE11" s="5"/>
      <c r="FF11" s="5"/>
      <c r="FG11" s="11">
        <v>-1</v>
      </c>
      <c r="FH11" s="25"/>
    </row>
    <row r="12" spans="1:165" ht="18" customHeight="1" x14ac:dyDescent="0.25">
      <c r="A12" s="6" t="s">
        <v>36</v>
      </c>
      <c r="B12" s="5">
        <v>303190</v>
      </c>
      <c r="C12" s="5">
        <v>60</v>
      </c>
      <c r="D12" s="5">
        <v>57</v>
      </c>
      <c r="E12" s="5">
        <v>58</v>
      </c>
      <c r="F12" s="5">
        <v>32</v>
      </c>
      <c r="G12" s="5">
        <v>0</v>
      </c>
      <c r="H12" s="5">
        <v>2</v>
      </c>
      <c r="I12" s="5">
        <v>2</v>
      </c>
      <c r="J12" s="5">
        <v>2</v>
      </c>
      <c r="K12" s="5">
        <v>1</v>
      </c>
      <c r="L12" s="5">
        <v>0</v>
      </c>
      <c r="M12" s="7">
        <v>7</v>
      </c>
      <c r="N12" s="5">
        <v>2</v>
      </c>
      <c r="O12" s="5">
        <v>2</v>
      </c>
      <c r="P12" s="5">
        <v>2</v>
      </c>
      <c r="Q12" s="5">
        <v>2</v>
      </c>
      <c r="R12" s="5">
        <v>2</v>
      </c>
      <c r="S12" s="5">
        <v>2</v>
      </c>
      <c r="T12" s="5">
        <v>2</v>
      </c>
      <c r="U12" s="5">
        <v>1</v>
      </c>
      <c r="V12" s="5">
        <v>0</v>
      </c>
      <c r="W12" s="8">
        <v>15</v>
      </c>
      <c r="X12" s="5">
        <v>1</v>
      </c>
      <c r="Y12" s="5">
        <v>2</v>
      </c>
      <c r="Z12" s="5">
        <v>3</v>
      </c>
      <c r="AA12" s="5">
        <v>2</v>
      </c>
      <c r="AB12" s="5">
        <v>0</v>
      </c>
      <c r="AC12" s="5">
        <v>3</v>
      </c>
      <c r="AD12" s="5">
        <v>0</v>
      </c>
      <c r="AE12" s="5">
        <v>1</v>
      </c>
      <c r="AF12" s="5">
        <v>0</v>
      </c>
      <c r="AG12" s="9">
        <v>12</v>
      </c>
      <c r="AH12" s="10"/>
      <c r="AI12" s="10"/>
      <c r="AJ12" s="10"/>
      <c r="AK12" s="10"/>
      <c r="AL12" s="10"/>
      <c r="AM12" s="10"/>
      <c r="AN12" s="10"/>
      <c r="AO12" s="10"/>
      <c r="AP12" s="10"/>
      <c r="AQ12" s="11">
        <v>0</v>
      </c>
      <c r="AR12" s="6" t="s">
        <v>36</v>
      </c>
      <c r="AS12" s="10"/>
      <c r="AT12" s="10"/>
      <c r="AU12" s="10"/>
      <c r="AV12" s="10"/>
      <c r="AW12" s="10"/>
      <c r="AX12" s="10"/>
      <c r="AY12" s="10"/>
      <c r="AZ12" s="10"/>
      <c r="BA12" s="10"/>
      <c r="BB12" s="11">
        <v>0</v>
      </c>
      <c r="BC12" s="12">
        <v>1</v>
      </c>
      <c r="BD12" s="5">
        <v>0</v>
      </c>
      <c r="BE12" s="5">
        <v>-1</v>
      </c>
      <c r="BF12" s="5">
        <v>0</v>
      </c>
      <c r="BG12" s="12">
        <v>2</v>
      </c>
      <c r="BH12" s="5">
        <v>-1</v>
      </c>
      <c r="BI12" s="12">
        <v>2</v>
      </c>
      <c r="BJ12" s="5">
        <v>0</v>
      </c>
      <c r="BK12" s="5">
        <v>0</v>
      </c>
      <c r="BL12" s="11">
        <v>3</v>
      </c>
      <c r="BM12" s="29"/>
      <c r="BN12" s="10"/>
      <c r="BO12" s="10"/>
      <c r="BP12" s="10"/>
      <c r="BQ12" s="10"/>
      <c r="BR12" s="10"/>
      <c r="BS12" s="23">
        <v>1</v>
      </c>
      <c r="BT12" s="10"/>
      <c r="BU12" s="10"/>
      <c r="BV12" s="10"/>
      <c r="BW12" s="11">
        <v>1</v>
      </c>
      <c r="BX12" s="5"/>
      <c r="BY12" s="10"/>
      <c r="BZ12" s="10"/>
      <c r="CA12" s="10"/>
      <c r="CB12" s="10"/>
      <c r="CC12" s="10"/>
      <c r="CD12" s="10"/>
      <c r="CE12" s="10"/>
      <c r="CF12" s="10"/>
      <c r="CG12" s="10"/>
      <c r="CH12" s="11">
        <v>0</v>
      </c>
      <c r="CI12" s="5"/>
      <c r="CJ12" s="12">
        <v>1</v>
      </c>
      <c r="CK12" s="5">
        <v>0</v>
      </c>
      <c r="CL12" s="5">
        <v>-1</v>
      </c>
      <c r="CM12" s="5">
        <v>0</v>
      </c>
      <c r="CN12" s="12">
        <v>2</v>
      </c>
      <c r="CO12" s="5">
        <f>BH12+BS12</f>
        <v>0</v>
      </c>
      <c r="CP12" s="12">
        <v>2</v>
      </c>
      <c r="CQ12" s="5">
        <v>0</v>
      </c>
      <c r="CR12" s="5">
        <v>0</v>
      </c>
      <c r="CS12" s="11">
        <v>2</v>
      </c>
      <c r="CU12" s="10"/>
      <c r="CV12" s="10"/>
      <c r="CW12" s="10"/>
      <c r="CX12" s="10"/>
      <c r="CY12" s="10"/>
      <c r="CZ12" s="10"/>
      <c r="DA12" s="10"/>
      <c r="DB12" s="10"/>
      <c r="DC12" s="10"/>
      <c r="DD12" s="11">
        <v>0</v>
      </c>
      <c r="DE12" s="5"/>
      <c r="DF12" s="10"/>
      <c r="DG12" s="10"/>
      <c r="DH12" s="10"/>
      <c r="DI12" s="10"/>
      <c r="DJ12" s="10"/>
      <c r="DK12" s="10"/>
      <c r="DL12" s="10"/>
      <c r="DM12" s="10"/>
      <c r="DN12" s="10"/>
      <c r="DO12" s="11">
        <v>0</v>
      </c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11">
        <v>2</v>
      </c>
      <c r="EB12" s="10"/>
      <c r="EC12" s="10"/>
      <c r="ED12" s="10"/>
      <c r="EE12" s="23">
        <v>1</v>
      </c>
      <c r="EF12" s="10"/>
      <c r="EG12" s="10"/>
      <c r="EH12" s="10"/>
      <c r="EI12" s="10"/>
      <c r="EJ12" s="10"/>
      <c r="EK12" s="11">
        <v>1</v>
      </c>
      <c r="EL12" s="5"/>
      <c r="EM12" s="10"/>
      <c r="EN12" s="10"/>
      <c r="EO12" s="10"/>
      <c r="EP12" s="10"/>
      <c r="EQ12" s="10"/>
      <c r="ER12" s="10"/>
      <c r="ES12" s="10"/>
      <c r="ET12" s="10"/>
      <c r="EU12" s="10"/>
      <c r="EV12" s="11">
        <v>0</v>
      </c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11">
        <v>3</v>
      </c>
      <c r="FH12" s="25"/>
    </row>
    <row r="13" spans="1:165" ht="18" customHeight="1" x14ac:dyDescent="0.25">
      <c r="A13" s="6" t="s">
        <v>37</v>
      </c>
      <c r="B13" s="5">
        <v>312703</v>
      </c>
      <c r="C13" s="5">
        <v>328</v>
      </c>
      <c r="D13" s="5">
        <v>312</v>
      </c>
      <c r="E13" s="5">
        <v>300</v>
      </c>
      <c r="F13" s="5">
        <v>186</v>
      </c>
      <c r="G13" s="5">
        <v>0</v>
      </c>
      <c r="H13" s="5">
        <v>9</v>
      </c>
      <c r="I13" s="5">
        <v>8</v>
      </c>
      <c r="J13" s="5">
        <v>8</v>
      </c>
      <c r="K13" s="5">
        <v>5</v>
      </c>
      <c r="L13" s="5">
        <v>0</v>
      </c>
      <c r="M13" s="7">
        <v>30</v>
      </c>
      <c r="N13" s="5">
        <v>5</v>
      </c>
      <c r="O13" s="5">
        <v>5</v>
      </c>
      <c r="P13" s="5">
        <v>5</v>
      </c>
      <c r="Q13" s="5">
        <v>5</v>
      </c>
      <c r="R13" s="5">
        <v>5</v>
      </c>
      <c r="S13" s="5">
        <v>5</v>
      </c>
      <c r="T13" s="5">
        <v>5</v>
      </c>
      <c r="U13" s="5">
        <v>6</v>
      </c>
      <c r="V13" s="5">
        <v>0</v>
      </c>
      <c r="W13" s="8">
        <v>41</v>
      </c>
      <c r="X13" s="5">
        <v>5</v>
      </c>
      <c r="Y13" s="5">
        <v>5</v>
      </c>
      <c r="Z13" s="5">
        <v>6</v>
      </c>
      <c r="AA13" s="5">
        <v>4</v>
      </c>
      <c r="AB13" s="5">
        <v>4</v>
      </c>
      <c r="AC13" s="5">
        <v>6</v>
      </c>
      <c r="AD13" s="5">
        <v>3</v>
      </c>
      <c r="AE13" s="5">
        <v>0</v>
      </c>
      <c r="AF13" s="5">
        <v>0</v>
      </c>
      <c r="AG13" s="9">
        <v>33</v>
      </c>
      <c r="AH13" s="10"/>
      <c r="AI13" s="10"/>
      <c r="AJ13" s="10"/>
      <c r="AK13" s="10"/>
      <c r="AL13" s="10"/>
      <c r="AM13" s="10"/>
      <c r="AN13" s="10"/>
      <c r="AO13" s="10"/>
      <c r="AP13" s="10"/>
      <c r="AQ13" s="11">
        <v>0</v>
      </c>
      <c r="AR13" s="6" t="s">
        <v>37</v>
      </c>
      <c r="AS13" s="10"/>
      <c r="AT13" s="10"/>
      <c r="AU13" s="10"/>
      <c r="AV13" s="10"/>
      <c r="AW13" s="10"/>
      <c r="AX13" s="10"/>
      <c r="AY13" s="10"/>
      <c r="AZ13" s="10"/>
      <c r="BA13" s="10"/>
      <c r="BB13" s="11">
        <v>0</v>
      </c>
      <c r="BC13" s="5">
        <v>0</v>
      </c>
      <c r="BD13" s="5">
        <v>0</v>
      </c>
      <c r="BE13" s="5">
        <v>-1</v>
      </c>
      <c r="BF13" s="12">
        <v>1</v>
      </c>
      <c r="BG13" s="12">
        <v>1</v>
      </c>
      <c r="BH13" s="5">
        <v>-1</v>
      </c>
      <c r="BI13" s="12">
        <v>2</v>
      </c>
      <c r="BJ13" s="12">
        <v>6</v>
      </c>
      <c r="BK13" s="5">
        <v>0</v>
      </c>
      <c r="BL13" s="11">
        <v>8</v>
      </c>
      <c r="BM13" s="29"/>
      <c r="BN13" s="10"/>
      <c r="BO13" s="10"/>
      <c r="BP13" s="10"/>
      <c r="BQ13" s="10"/>
      <c r="BR13" s="10"/>
      <c r="BS13" s="10"/>
      <c r="BT13" s="10"/>
      <c r="BU13" s="10"/>
      <c r="BV13" s="10"/>
      <c r="BW13" s="11">
        <v>0</v>
      </c>
      <c r="BX13" s="5"/>
      <c r="BY13" s="10"/>
      <c r="BZ13" s="10"/>
      <c r="CA13" s="10"/>
      <c r="CB13" s="10"/>
      <c r="CC13" s="10"/>
      <c r="CD13" s="10"/>
      <c r="CE13" s="24">
        <v>1</v>
      </c>
      <c r="CF13" s="10"/>
      <c r="CG13" s="10"/>
      <c r="CH13" s="11">
        <v>1</v>
      </c>
      <c r="CI13" s="5"/>
      <c r="CJ13" s="5">
        <v>0</v>
      </c>
      <c r="CK13" s="5">
        <v>0</v>
      </c>
      <c r="CL13" s="5">
        <v>-1</v>
      </c>
      <c r="CM13" s="32">
        <f>BF13-1</f>
        <v>0</v>
      </c>
      <c r="CN13" s="32">
        <f>BG13-1</f>
        <v>0</v>
      </c>
      <c r="CO13" s="5">
        <v>-1</v>
      </c>
      <c r="CP13" s="79">
        <f>BI13-CE13</f>
        <v>1</v>
      </c>
      <c r="CQ13" s="12">
        <v>6</v>
      </c>
      <c r="CR13" s="5">
        <v>0</v>
      </c>
      <c r="CS13" s="11">
        <v>5</v>
      </c>
      <c r="CU13" s="10"/>
      <c r="CV13" s="10"/>
      <c r="CW13" s="10"/>
      <c r="CX13" s="10"/>
      <c r="CY13" s="10"/>
      <c r="CZ13" s="10"/>
      <c r="DA13" s="10"/>
      <c r="DB13" s="10"/>
      <c r="DC13" s="10"/>
      <c r="DD13" s="11">
        <v>0</v>
      </c>
      <c r="DE13" s="5"/>
      <c r="DF13" s="10"/>
      <c r="DG13" s="10"/>
      <c r="DH13" s="10"/>
      <c r="DI13" s="10"/>
      <c r="DJ13" s="10"/>
      <c r="DK13" s="10"/>
      <c r="DL13" s="10"/>
      <c r="DM13" s="10"/>
      <c r="DN13" s="10"/>
      <c r="DO13" s="11">
        <v>0</v>
      </c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11">
        <v>5</v>
      </c>
      <c r="EB13" s="10"/>
      <c r="EC13" s="10"/>
      <c r="ED13" s="10"/>
      <c r="EE13" s="10"/>
      <c r="EF13" s="10"/>
      <c r="EG13" s="10"/>
      <c r="EH13" s="10"/>
      <c r="EI13" s="10"/>
      <c r="EJ13" s="10"/>
      <c r="EK13" s="11">
        <v>0</v>
      </c>
      <c r="EL13" s="5"/>
      <c r="EM13" s="10"/>
      <c r="EN13" s="10"/>
      <c r="EO13" s="10"/>
      <c r="EP13" s="10"/>
      <c r="EQ13" s="10"/>
      <c r="ER13" s="10"/>
      <c r="ES13" s="10"/>
      <c r="ET13" s="10"/>
      <c r="EU13" s="10"/>
      <c r="EV13" s="11">
        <v>0</v>
      </c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11">
        <v>5</v>
      </c>
      <c r="FH13" s="25"/>
    </row>
    <row r="14" spans="1:165" ht="17.399999999999999" customHeight="1" x14ac:dyDescent="0.25">
      <c r="A14" s="6" t="s">
        <v>38</v>
      </c>
      <c r="B14" s="5">
        <v>303182</v>
      </c>
      <c r="C14" s="5">
        <v>26</v>
      </c>
      <c r="D14" s="5">
        <v>25</v>
      </c>
      <c r="E14" s="5">
        <v>35</v>
      </c>
      <c r="F14" s="5">
        <v>52</v>
      </c>
      <c r="G14" s="5">
        <v>0</v>
      </c>
      <c r="H14" s="5">
        <v>1</v>
      </c>
      <c r="I14" s="5">
        <v>1</v>
      </c>
      <c r="J14" s="5">
        <v>1</v>
      </c>
      <c r="K14" s="5">
        <v>2</v>
      </c>
      <c r="L14" s="5">
        <v>0</v>
      </c>
      <c r="M14" s="7">
        <v>5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0</v>
      </c>
      <c r="W14" s="8">
        <v>8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0</v>
      </c>
      <c r="AE14" s="5">
        <v>0</v>
      </c>
      <c r="AF14" s="5">
        <v>0</v>
      </c>
      <c r="AG14" s="9">
        <v>6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1">
        <v>0</v>
      </c>
      <c r="AR14" s="6" t="s">
        <v>38</v>
      </c>
      <c r="AS14" s="10"/>
      <c r="AT14" s="10"/>
      <c r="AU14" s="10"/>
      <c r="AV14" s="10"/>
      <c r="AW14" s="10"/>
      <c r="AX14" s="10"/>
      <c r="AY14" s="10"/>
      <c r="AZ14" s="10"/>
      <c r="BA14" s="10"/>
      <c r="BB14" s="11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12">
        <v>1</v>
      </c>
      <c r="BJ14" s="12">
        <v>1</v>
      </c>
      <c r="BK14" s="5">
        <v>0</v>
      </c>
      <c r="BL14" s="11">
        <v>2</v>
      </c>
      <c r="BM14" s="29"/>
      <c r="BN14" s="10"/>
      <c r="BO14" s="10"/>
      <c r="BP14" s="10"/>
      <c r="BQ14" s="10"/>
      <c r="BR14" s="10"/>
      <c r="BS14" s="10"/>
      <c r="BT14" s="10"/>
      <c r="BU14" s="10"/>
      <c r="BV14" s="10"/>
      <c r="BW14" s="11">
        <v>0</v>
      </c>
      <c r="BX14" s="5"/>
      <c r="BY14" s="10"/>
      <c r="BZ14" s="10"/>
      <c r="CA14" s="10"/>
      <c r="CB14" s="10"/>
      <c r="CC14" s="10"/>
      <c r="CD14" s="10"/>
      <c r="CE14" s="10"/>
      <c r="CF14" s="10"/>
      <c r="CG14" s="10"/>
      <c r="CH14" s="11">
        <v>0</v>
      </c>
      <c r="CI14" s="5"/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12">
        <v>1</v>
      </c>
      <c r="CQ14" s="12">
        <v>1</v>
      </c>
      <c r="CR14" s="5">
        <v>0</v>
      </c>
      <c r="CS14" s="11">
        <v>2</v>
      </c>
      <c r="CU14" s="10"/>
      <c r="CV14" s="10"/>
      <c r="CW14" s="10"/>
      <c r="CX14" s="10"/>
      <c r="CY14" s="10"/>
      <c r="CZ14" s="10"/>
      <c r="DA14" s="10"/>
      <c r="DB14" s="10"/>
      <c r="DC14" s="10"/>
      <c r="DD14" s="11">
        <v>0</v>
      </c>
      <c r="DE14" s="5"/>
      <c r="DF14" s="10"/>
      <c r="DG14" s="10"/>
      <c r="DH14" s="10"/>
      <c r="DI14" s="10"/>
      <c r="DJ14" s="10"/>
      <c r="DK14" s="10"/>
      <c r="DL14" s="10"/>
      <c r="DM14" s="10"/>
      <c r="DN14" s="10"/>
      <c r="DO14" s="11">
        <v>0</v>
      </c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11">
        <v>2</v>
      </c>
      <c r="EB14" s="10"/>
      <c r="EC14" s="10"/>
      <c r="ED14" s="10"/>
      <c r="EE14" s="10"/>
      <c r="EF14" s="10"/>
      <c r="EG14" s="10"/>
      <c r="EH14" s="10"/>
      <c r="EI14" s="10"/>
      <c r="EJ14" s="10"/>
      <c r="EK14" s="11">
        <v>0</v>
      </c>
      <c r="EL14" s="5"/>
      <c r="EM14" s="10"/>
      <c r="EN14" s="10"/>
      <c r="EO14" s="10"/>
      <c r="EP14" s="10"/>
      <c r="EQ14" s="10"/>
      <c r="ER14" s="10"/>
      <c r="ES14" s="10"/>
      <c r="ET14" s="10"/>
      <c r="EU14" s="10"/>
      <c r="EV14" s="11">
        <v>0</v>
      </c>
      <c r="EW14" s="5"/>
      <c r="EX14" s="5"/>
      <c r="EY14" s="5"/>
      <c r="EZ14" s="5"/>
      <c r="FA14" s="5"/>
      <c r="FB14" s="32">
        <v>1</v>
      </c>
      <c r="FC14" s="5"/>
      <c r="FD14" s="5"/>
      <c r="FE14" s="5"/>
      <c r="FF14" s="5"/>
      <c r="FG14" s="11">
        <v>1</v>
      </c>
      <c r="FH14" s="25"/>
    </row>
    <row r="15" spans="1:165" ht="16.8" customHeight="1" x14ac:dyDescent="0.25">
      <c r="A15" s="6" t="s">
        <v>39</v>
      </c>
      <c r="B15" s="5">
        <v>303177</v>
      </c>
      <c r="C15" s="5">
        <v>244</v>
      </c>
      <c r="D15" s="5">
        <v>232</v>
      </c>
      <c r="E15" s="5">
        <v>258</v>
      </c>
      <c r="F15" s="5">
        <v>171</v>
      </c>
      <c r="G15" s="5">
        <v>0</v>
      </c>
      <c r="H15" s="5">
        <v>7</v>
      </c>
      <c r="I15" s="5">
        <v>6</v>
      </c>
      <c r="J15" s="5">
        <v>7</v>
      </c>
      <c r="K15" s="5">
        <v>5</v>
      </c>
      <c r="L15" s="5">
        <v>0</v>
      </c>
      <c r="M15" s="7">
        <v>25</v>
      </c>
      <c r="N15" s="5">
        <v>5</v>
      </c>
      <c r="O15" s="5">
        <v>5</v>
      </c>
      <c r="P15" s="5">
        <v>5</v>
      </c>
      <c r="Q15" s="5">
        <v>5</v>
      </c>
      <c r="R15" s="5">
        <v>5</v>
      </c>
      <c r="S15" s="5">
        <v>5</v>
      </c>
      <c r="T15" s="5">
        <v>5</v>
      </c>
      <c r="U15" s="5">
        <v>5</v>
      </c>
      <c r="V15" s="5">
        <v>0</v>
      </c>
      <c r="W15" s="8">
        <v>40</v>
      </c>
      <c r="X15" s="5">
        <v>3</v>
      </c>
      <c r="Y15" s="5">
        <v>5</v>
      </c>
      <c r="Z15" s="5">
        <v>5</v>
      </c>
      <c r="AA15" s="5">
        <v>4</v>
      </c>
      <c r="AB15" s="5">
        <v>3</v>
      </c>
      <c r="AC15" s="5">
        <v>4</v>
      </c>
      <c r="AD15" s="5">
        <v>3</v>
      </c>
      <c r="AE15" s="5">
        <v>3</v>
      </c>
      <c r="AF15" s="5">
        <v>0</v>
      </c>
      <c r="AG15" s="9">
        <v>30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1">
        <v>0</v>
      </c>
      <c r="AR15" s="6" t="s">
        <v>39</v>
      </c>
      <c r="AS15" s="10"/>
      <c r="AT15" s="10"/>
      <c r="AU15" s="10"/>
      <c r="AV15" s="10"/>
      <c r="AW15" s="10"/>
      <c r="AX15" s="10"/>
      <c r="AY15" s="10"/>
      <c r="AZ15" s="10"/>
      <c r="BA15" s="10"/>
      <c r="BB15" s="11">
        <v>0</v>
      </c>
      <c r="BC15" s="12">
        <v>2</v>
      </c>
      <c r="BD15" s="5">
        <v>0</v>
      </c>
      <c r="BE15" s="5">
        <v>0</v>
      </c>
      <c r="BF15" s="12">
        <v>1</v>
      </c>
      <c r="BG15" s="12">
        <v>2</v>
      </c>
      <c r="BH15" s="12">
        <v>1</v>
      </c>
      <c r="BI15" s="12">
        <v>2</v>
      </c>
      <c r="BJ15" s="12">
        <v>2</v>
      </c>
      <c r="BK15" s="5">
        <v>0</v>
      </c>
      <c r="BL15" s="11">
        <v>10</v>
      </c>
      <c r="BM15" s="29"/>
      <c r="BN15" s="10"/>
      <c r="BO15" s="10"/>
      <c r="BP15" s="10"/>
      <c r="BQ15" s="10"/>
      <c r="BR15" s="10"/>
      <c r="BS15" s="10"/>
      <c r="BT15" s="10"/>
      <c r="BU15" s="10"/>
      <c r="BV15" s="10"/>
      <c r="BW15" s="11">
        <v>0</v>
      </c>
      <c r="BX15" s="5"/>
      <c r="BY15" s="10"/>
      <c r="BZ15" s="10"/>
      <c r="CA15" s="10"/>
      <c r="CB15" s="10"/>
      <c r="CC15" s="10"/>
      <c r="CD15" s="10"/>
      <c r="CE15" s="10"/>
      <c r="CF15" s="10"/>
      <c r="CG15" s="10"/>
      <c r="CH15" s="11">
        <v>0</v>
      </c>
      <c r="CI15" s="5"/>
      <c r="CJ15" s="12">
        <v>2</v>
      </c>
      <c r="CK15" s="5">
        <v>0</v>
      </c>
      <c r="CL15" s="5">
        <v>0</v>
      </c>
      <c r="CM15" s="12">
        <v>1</v>
      </c>
      <c r="CN15" s="12">
        <v>2</v>
      </c>
      <c r="CO15" s="12">
        <v>1</v>
      </c>
      <c r="CP15" s="12">
        <v>2</v>
      </c>
      <c r="CQ15" s="12">
        <v>2</v>
      </c>
      <c r="CR15" s="5">
        <v>0</v>
      </c>
      <c r="CS15" s="11">
        <v>10</v>
      </c>
      <c r="CU15" s="10"/>
      <c r="CV15" s="10"/>
      <c r="CW15" s="10"/>
      <c r="CX15" s="10"/>
      <c r="CY15" s="10"/>
      <c r="CZ15" s="10"/>
      <c r="DA15" s="10"/>
      <c r="DB15" s="10"/>
      <c r="DC15" s="10"/>
      <c r="DD15" s="11">
        <v>0</v>
      </c>
      <c r="DE15" s="5"/>
      <c r="DF15" s="10"/>
      <c r="DG15" s="10"/>
      <c r="DH15" s="10"/>
      <c r="DI15" s="10"/>
      <c r="DJ15" s="10"/>
      <c r="DK15" s="10"/>
      <c r="DL15" s="10"/>
      <c r="DM15" s="10"/>
      <c r="DN15" s="10"/>
      <c r="DO15" s="11">
        <v>0</v>
      </c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11">
        <v>10</v>
      </c>
      <c r="EB15" s="10"/>
      <c r="EC15" s="10"/>
      <c r="ED15" s="10"/>
      <c r="EE15" s="10"/>
      <c r="EF15" s="10"/>
      <c r="EG15" s="10"/>
      <c r="EH15" s="10"/>
      <c r="EI15" s="10"/>
      <c r="EJ15" s="10"/>
      <c r="EK15" s="11">
        <v>0</v>
      </c>
      <c r="EL15" s="5"/>
      <c r="EM15" s="10"/>
      <c r="EN15" s="10"/>
      <c r="EO15" s="10"/>
      <c r="EP15" s="10"/>
      <c r="EQ15" s="10"/>
      <c r="ER15" s="10"/>
      <c r="ES15" s="10"/>
      <c r="ET15" s="10"/>
      <c r="EU15" s="10"/>
      <c r="EV15" s="11">
        <v>0</v>
      </c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11">
        <v>10</v>
      </c>
      <c r="FH15" s="25"/>
    </row>
    <row r="16" spans="1:165" ht="16.8" customHeight="1" x14ac:dyDescent="0.25">
      <c r="A16" s="6" t="s">
        <v>40</v>
      </c>
      <c r="B16" s="5">
        <v>303186</v>
      </c>
      <c r="C16" s="5">
        <v>152</v>
      </c>
      <c r="D16" s="5">
        <v>145</v>
      </c>
      <c r="E16" s="5">
        <v>140</v>
      </c>
      <c r="F16" s="5">
        <v>110</v>
      </c>
      <c r="G16" s="5">
        <v>0</v>
      </c>
      <c r="H16" s="5">
        <v>4</v>
      </c>
      <c r="I16" s="5">
        <v>4</v>
      </c>
      <c r="J16" s="5">
        <v>4</v>
      </c>
      <c r="K16" s="5">
        <v>3</v>
      </c>
      <c r="L16" s="5">
        <v>0</v>
      </c>
      <c r="M16" s="7">
        <v>15</v>
      </c>
      <c r="N16" s="5">
        <v>3</v>
      </c>
      <c r="O16" s="5">
        <v>3</v>
      </c>
      <c r="P16" s="5">
        <v>3</v>
      </c>
      <c r="Q16" s="5">
        <v>3</v>
      </c>
      <c r="R16" s="5">
        <v>3</v>
      </c>
      <c r="S16" s="5">
        <v>3</v>
      </c>
      <c r="T16" s="5">
        <v>3</v>
      </c>
      <c r="U16" s="5">
        <v>3</v>
      </c>
      <c r="V16" s="5">
        <v>0</v>
      </c>
      <c r="W16" s="8">
        <v>24</v>
      </c>
      <c r="X16" s="5">
        <v>4</v>
      </c>
      <c r="Y16" s="5">
        <v>2</v>
      </c>
      <c r="Z16" s="5">
        <v>2</v>
      </c>
      <c r="AA16" s="5">
        <v>2</v>
      </c>
      <c r="AB16" s="5">
        <v>2</v>
      </c>
      <c r="AC16" s="5">
        <v>3</v>
      </c>
      <c r="AD16" s="5">
        <v>1</v>
      </c>
      <c r="AE16" s="5">
        <v>0</v>
      </c>
      <c r="AF16" s="5">
        <v>0</v>
      </c>
      <c r="AG16" s="9">
        <v>16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1">
        <v>0</v>
      </c>
      <c r="AR16" s="6" t="s">
        <v>40</v>
      </c>
      <c r="AS16" s="10"/>
      <c r="AT16" s="10"/>
      <c r="AU16" s="10"/>
      <c r="AV16" s="10"/>
      <c r="AW16" s="10"/>
      <c r="AX16" s="10"/>
      <c r="AY16" s="10"/>
      <c r="AZ16" s="10"/>
      <c r="BA16" s="10"/>
      <c r="BB16" s="11">
        <v>0</v>
      </c>
      <c r="BC16" s="5">
        <v>-1</v>
      </c>
      <c r="BD16" s="12">
        <v>1</v>
      </c>
      <c r="BE16" s="12">
        <v>1</v>
      </c>
      <c r="BF16" s="12">
        <v>1</v>
      </c>
      <c r="BG16" s="12">
        <v>1</v>
      </c>
      <c r="BH16" s="5">
        <v>0</v>
      </c>
      <c r="BI16" s="12">
        <v>2</v>
      </c>
      <c r="BJ16" s="12">
        <v>3</v>
      </c>
      <c r="BK16" s="5">
        <v>0</v>
      </c>
      <c r="BL16" s="11">
        <v>8</v>
      </c>
      <c r="BM16" s="29"/>
      <c r="BN16" s="10"/>
      <c r="BO16" s="10"/>
      <c r="BP16" s="10"/>
      <c r="BQ16" s="10"/>
      <c r="BR16" s="10"/>
      <c r="BS16" s="10"/>
      <c r="BT16" s="10"/>
      <c r="BU16" s="10"/>
      <c r="BV16" s="10"/>
      <c r="BW16" s="11">
        <v>0</v>
      </c>
      <c r="BX16" s="5"/>
      <c r="BY16" s="10"/>
      <c r="BZ16" s="10"/>
      <c r="CA16" s="10"/>
      <c r="CB16" s="10"/>
      <c r="CC16" s="10"/>
      <c r="CD16" s="10"/>
      <c r="CE16" s="10"/>
      <c r="CF16" s="10"/>
      <c r="CG16" s="10"/>
      <c r="CH16" s="11">
        <v>0</v>
      </c>
      <c r="CI16" s="5"/>
      <c r="CJ16" s="5">
        <v>-1</v>
      </c>
      <c r="CK16" s="12">
        <v>1</v>
      </c>
      <c r="CL16" s="12">
        <v>1</v>
      </c>
      <c r="CM16" s="32">
        <f>BF16-1</f>
        <v>0</v>
      </c>
      <c r="CN16" s="12">
        <v>1</v>
      </c>
      <c r="CO16" s="5">
        <v>0</v>
      </c>
      <c r="CP16" s="12">
        <v>2</v>
      </c>
      <c r="CQ16" s="12">
        <v>3</v>
      </c>
      <c r="CR16" s="5">
        <v>0</v>
      </c>
      <c r="CS16" s="11">
        <v>7</v>
      </c>
      <c r="CU16" s="10"/>
      <c r="CV16" s="10"/>
      <c r="CW16" s="10"/>
      <c r="CX16" s="10"/>
      <c r="CY16" s="10"/>
      <c r="CZ16" s="10"/>
      <c r="DA16" s="10"/>
      <c r="DB16" s="10"/>
      <c r="DC16" s="10"/>
      <c r="DD16" s="11">
        <v>0</v>
      </c>
      <c r="DE16" s="5"/>
      <c r="DF16" s="10"/>
      <c r="DG16" s="10"/>
      <c r="DH16" s="10"/>
      <c r="DI16" s="10"/>
      <c r="DJ16" s="10"/>
      <c r="DK16" s="10"/>
      <c r="DL16" s="10"/>
      <c r="DM16" s="10"/>
      <c r="DN16" s="10"/>
      <c r="DO16" s="11">
        <v>0</v>
      </c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11">
        <v>7</v>
      </c>
      <c r="EB16" s="10"/>
      <c r="EC16" s="10"/>
      <c r="ED16" s="10"/>
      <c r="EE16" s="10"/>
      <c r="EF16" s="10"/>
      <c r="EG16" s="10"/>
      <c r="EH16" s="10"/>
      <c r="EI16" s="10"/>
      <c r="EJ16" s="10"/>
      <c r="EK16" s="11">
        <v>0</v>
      </c>
      <c r="EL16" s="5"/>
      <c r="EM16" s="10"/>
      <c r="EN16" s="10"/>
      <c r="EO16" s="10"/>
      <c r="EP16" s="10"/>
      <c r="EQ16" s="10"/>
      <c r="ER16" s="10"/>
      <c r="ES16" s="10"/>
      <c r="ET16" s="10"/>
      <c r="EU16" s="10"/>
      <c r="EV16" s="11">
        <v>0</v>
      </c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11">
        <v>7</v>
      </c>
      <c r="FH16" s="25"/>
    </row>
    <row r="17" spans="1:165" ht="16.8" customHeight="1" x14ac:dyDescent="0.25">
      <c r="A17" s="6" t="s">
        <v>41</v>
      </c>
      <c r="B17" s="5">
        <v>303178</v>
      </c>
      <c r="C17" s="5">
        <v>953</v>
      </c>
      <c r="D17" s="5">
        <v>908</v>
      </c>
      <c r="E17" s="5">
        <v>836</v>
      </c>
      <c r="F17" s="5">
        <v>741</v>
      </c>
      <c r="G17" s="5">
        <v>0</v>
      </c>
      <c r="H17" s="5">
        <v>24</v>
      </c>
      <c r="I17" s="5">
        <v>23</v>
      </c>
      <c r="J17" s="5">
        <v>21</v>
      </c>
      <c r="K17" s="5">
        <v>19</v>
      </c>
      <c r="L17" s="5">
        <v>0</v>
      </c>
      <c r="M17" s="7">
        <v>87</v>
      </c>
      <c r="N17" s="5">
        <v>15</v>
      </c>
      <c r="O17" s="5">
        <v>15</v>
      </c>
      <c r="P17" s="5">
        <v>15</v>
      </c>
      <c r="Q17" s="5">
        <v>15</v>
      </c>
      <c r="R17" s="5">
        <v>15</v>
      </c>
      <c r="S17" s="5">
        <v>15</v>
      </c>
      <c r="T17" s="5">
        <v>15</v>
      </c>
      <c r="U17" s="5">
        <v>17</v>
      </c>
      <c r="V17" s="5">
        <v>0</v>
      </c>
      <c r="W17" s="8">
        <v>122</v>
      </c>
      <c r="X17" s="5">
        <v>14</v>
      </c>
      <c r="Y17" s="5">
        <v>18</v>
      </c>
      <c r="Z17" s="5">
        <v>19</v>
      </c>
      <c r="AA17" s="5">
        <v>17</v>
      </c>
      <c r="AB17" s="5">
        <v>13</v>
      </c>
      <c r="AC17" s="5">
        <v>19</v>
      </c>
      <c r="AD17" s="5">
        <v>15</v>
      </c>
      <c r="AE17" s="5">
        <v>1</v>
      </c>
      <c r="AF17" s="5">
        <v>0</v>
      </c>
      <c r="AG17" s="9">
        <v>116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1">
        <v>0</v>
      </c>
      <c r="AR17" s="6" t="s">
        <v>41</v>
      </c>
      <c r="AS17" s="10"/>
      <c r="AT17" s="10"/>
      <c r="AU17" s="10"/>
      <c r="AV17" s="10"/>
      <c r="AW17" s="10"/>
      <c r="AX17" s="10"/>
      <c r="AY17" s="10"/>
      <c r="AZ17" s="10"/>
      <c r="BA17" s="10"/>
      <c r="BB17" s="11">
        <v>0</v>
      </c>
      <c r="BC17" s="12">
        <v>1</v>
      </c>
      <c r="BD17" s="5">
        <v>-3</v>
      </c>
      <c r="BE17" s="5">
        <v>-4</v>
      </c>
      <c r="BF17" s="5">
        <v>-2</v>
      </c>
      <c r="BG17" s="12">
        <v>2</v>
      </c>
      <c r="BH17" s="5">
        <v>-4</v>
      </c>
      <c r="BI17" s="5">
        <v>0</v>
      </c>
      <c r="BJ17" s="12">
        <v>16</v>
      </c>
      <c r="BK17" s="5">
        <v>0</v>
      </c>
      <c r="BL17" s="11">
        <v>6</v>
      </c>
      <c r="BM17" s="29"/>
      <c r="BN17" s="10"/>
      <c r="BO17" s="10"/>
      <c r="BP17" s="10"/>
      <c r="BQ17" s="10"/>
      <c r="BR17" s="10"/>
      <c r="BS17" s="10"/>
      <c r="BT17" s="10"/>
      <c r="BU17" s="10"/>
      <c r="BV17" s="10"/>
      <c r="BW17" s="11">
        <v>0</v>
      </c>
      <c r="BX17" s="5"/>
      <c r="BY17" s="10"/>
      <c r="BZ17" s="10"/>
      <c r="CA17" s="10"/>
      <c r="CB17" s="10"/>
      <c r="CC17" s="10"/>
      <c r="CD17" s="10"/>
      <c r="CE17" s="10"/>
      <c r="CF17" s="10"/>
      <c r="CG17" s="10"/>
      <c r="CH17" s="11">
        <v>0</v>
      </c>
      <c r="CI17" s="5"/>
      <c r="CJ17" s="12">
        <v>1</v>
      </c>
      <c r="CK17" s="5">
        <v>-3</v>
      </c>
      <c r="CL17" s="5">
        <v>-4</v>
      </c>
      <c r="CM17" s="5">
        <v>-2</v>
      </c>
      <c r="CN17" s="12">
        <v>2</v>
      </c>
      <c r="CO17" s="5">
        <v>-4</v>
      </c>
      <c r="CP17" s="5">
        <v>0</v>
      </c>
      <c r="CQ17" s="12">
        <v>16</v>
      </c>
      <c r="CR17" s="5">
        <v>0</v>
      </c>
      <c r="CS17" s="11">
        <v>6</v>
      </c>
      <c r="CU17" s="10"/>
      <c r="CV17" s="10"/>
      <c r="CW17" s="10"/>
      <c r="CX17" s="10"/>
      <c r="CY17" s="10"/>
      <c r="CZ17" s="10"/>
      <c r="DA17" s="10"/>
      <c r="DB17" s="10"/>
      <c r="DC17" s="10"/>
      <c r="DD17" s="11">
        <v>0</v>
      </c>
      <c r="DE17" s="5"/>
      <c r="DF17" s="10"/>
      <c r="DG17" s="10"/>
      <c r="DH17" s="10"/>
      <c r="DI17" s="10"/>
      <c r="DJ17" s="10"/>
      <c r="DK17" s="10"/>
      <c r="DL17" s="10"/>
      <c r="DM17" s="10"/>
      <c r="DN17" s="10"/>
      <c r="DO17" s="11">
        <v>0</v>
      </c>
      <c r="DP17" s="5"/>
      <c r="DQ17" s="5"/>
      <c r="DR17" s="5"/>
      <c r="DS17" s="5"/>
      <c r="DT17" s="5"/>
      <c r="DU17" s="5"/>
      <c r="DV17" s="5"/>
      <c r="DW17" s="32">
        <v>1</v>
      </c>
      <c r="DX17" s="5"/>
      <c r="DY17" s="5"/>
      <c r="DZ17" s="11">
        <v>5</v>
      </c>
      <c r="EB17" s="10"/>
      <c r="EC17" s="10"/>
      <c r="ED17" s="10"/>
      <c r="EE17" s="10"/>
      <c r="EF17" s="23">
        <v>1</v>
      </c>
      <c r="EG17" s="10"/>
      <c r="EH17" s="10"/>
      <c r="EI17" s="10"/>
      <c r="EJ17" s="10"/>
      <c r="EK17" s="11">
        <v>1</v>
      </c>
      <c r="EL17" s="5"/>
      <c r="EM17" s="10"/>
      <c r="EN17" s="10"/>
      <c r="EO17" s="10"/>
      <c r="EP17" s="10"/>
      <c r="EQ17" s="10"/>
      <c r="ER17" s="10"/>
      <c r="ES17" s="10"/>
      <c r="ET17" s="10"/>
      <c r="EU17" s="10"/>
      <c r="EV17" s="11">
        <v>0</v>
      </c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11">
        <v>6</v>
      </c>
      <c r="FH17" s="25"/>
    </row>
    <row r="18" spans="1:165" ht="16.2" customHeight="1" x14ac:dyDescent="0.25">
      <c r="A18" s="6" t="s">
        <v>42</v>
      </c>
      <c r="B18" s="5">
        <v>303176</v>
      </c>
      <c r="C18" s="5">
        <v>170</v>
      </c>
      <c r="D18" s="5">
        <v>162</v>
      </c>
      <c r="E18" s="5">
        <v>203</v>
      </c>
      <c r="F18" s="5">
        <v>170</v>
      </c>
      <c r="G18" s="5">
        <v>0</v>
      </c>
      <c r="H18" s="5">
        <v>5</v>
      </c>
      <c r="I18" s="5">
        <v>5</v>
      </c>
      <c r="J18" s="5">
        <v>6</v>
      </c>
      <c r="K18" s="5">
        <v>5</v>
      </c>
      <c r="L18" s="5">
        <v>0</v>
      </c>
      <c r="M18" s="7">
        <v>21</v>
      </c>
      <c r="N18" s="5">
        <v>4</v>
      </c>
      <c r="O18" s="5">
        <v>4</v>
      </c>
      <c r="P18" s="5">
        <v>4</v>
      </c>
      <c r="Q18" s="5">
        <v>4</v>
      </c>
      <c r="R18" s="5">
        <v>4</v>
      </c>
      <c r="S18" s="5">
        <v>4</v>
      </c>
      <c r="T18" s="5">
        <v>4</v>
      </c>
      <c r="U18" s="5">
        <v>4</v>
      </c>
      <c r="V18" s="5">
        <v>0</v>
      </c>
      <c r="W18" s="8">
        <v>32</v>
      </c>
      <c r="X18" s="5">
        <v>6</v>
      </c>
      <c r="Y18" s="5">
        <v>5</v>
      </c>
      <c r="Z18" s="5">
        <v>5</v>
      </c>
      <c r="AA18" s="5">
        <v>6</v>
      </c>
      <c r="AB18" s="5">
        <v>7</v>
      </c>
      <c r="AC18" s="5">
        <v>6</v>
      </c>
      <c r="AD18" s="5">
        <v>1</v>
      </c>
      <c r="AE18" s="5">
        <v>0</v>
      </c>
      <c r="AF18" s="5">
        <v>0</v>
      </c>
      <c r="AG18" s="9">
        <v>36</v>
      </c>
      <c r="AH18" s="10"/>
      <c r="AI18" s="10"/>
      <c r="AJ18" s="10"/>
      <c r="AK18" s="10"/>
      <c r="AL18" s="10"/>
      <c r="AM18" s="10"/>
      <c r="AN18" s="10"/>
      <c r="AO18" s="10"/>
      <c r="AP18" s="10"/>
      <c r="AQ18" s="11">
        <v>0</v>
      </c>
      <c r="AR18" s="6" t="s">
        <v>42</v>
      </c>
      <c r="AS18" s="10"/>
      <c r="AT18" s="10"/>
      <c r="AU18" s="10"/>
      <c r="AV18" s="10"/>
      <c r="AW18" s="10"/>
      <c r="AX18" s="10"/>
      <c r="AY18" s="10"/>
      <c r="AZ18" s="10"/>
      <c r="BA18" s="10"/>
      <c r="BB18" s="11">
        <v>0</v>
      </c>
      <c r="BC18" s="5">
        <v>-2</v>
      </c>
      <c r="BD18" s="5">
        <v>-1</v>
      </c>
      <c r="BE18" s="5">
        <v>-1</v>
      </c>
      <c r="BF18" s="5">
        <v>-2</v>
      </c>
      <c r="BG18" s="5">
        <v>-3</v>
      </c>
      <c r="BH18" s="5">
        <v>-2</v>
      </c>
      <c r="BI18" s="12">
        <v>3</v>
      </c>
      <c r="BJ18" s="12">
        <v>4</v>
      </c>
      <c r="BK18" s="5">
        <v>0</v>
      </c>
      <c r="BL18" s="5">
        <v>-4</v>
      </c>
      <c r="BM18" s="29"/>
      <c r="BN18" s="10"/>
      <c r="BO18" s="10"/>
      <c r="BP18" s="10"/>
      <c r="BQ18" s="10"/>
      <c r="BR18" s="10"/>
      <c r="BS18" s="10"/>
      <c r="BT18" s="10"/>
      <c r="BU18" s="10"/>
      <c r="BV18" s="10"/>
      <c r="BW18" s="11">
        <v>0</v>
      </c>
      <c r="BX18" s="5"/>
      <c r="BY18" s="10"/>
      <c r="BZ18" s="10"/>
      <c r="CA18" s="10"/>
      <c r="CB18" s="10"/>
      <c r="CC18" s="10"/>
      <c r="CD18" s="10"/>
      <c r="CE18" s="10"/>
      <c r="CF18" s="10"/>
      <c r="CG18" s="10"/>
      <c r="CH18" s="11">
        <v>0</v>
      </c>
      <c r="CI18" s="5"/>
      <c r="CJ18" s="5">
        <v>-2</v>
      </c>
      <c r="CK18" s="5">
        <v>-1</v>
      </c>
      <c r="CL18" s="5">
        <v>-1</v>
      </c>
      <c r="CM18" s="5">
        <v>-2</v>
      </c>
      <c r="CN18" s="5">
        <v>-3</v>
      </c>
      <c r="CO18" s="5">
        <v>-2</v>
      </c>
      <c r="CP18" s="12">
        <v>3</v>
      </c>
      <c r="CQ18" s="12">
        <v>4</v>
      </c>
      <c r="CR18" s="5">
        <v>0</v>
      </c>
      <c r="CS18" s="5">
        <v>-4</v>
      </c>
      <c r="CU18" s="10"/>
      <c r="CV18" s="10"/>
      <c r="CW18" s="10"/>
      <c r="CX18" s="10"/>
      <c r="CY18" s="10"/>
      <c r="CZ18" s="10"/>
      <c r="DA18" s="10"/>
      <c r="DB18" s="10"/>
      <c r="DC18" s="10"/>
      <c r="DD18" s="11">
        <v>0</v>
      </c>
      <c r="DE18" s="5"/>
      <c r="DF18" s="10"/>
      <c r="DG18" s="10"/>
      <c r="DH18" s="10"/>
      <c r="DI18" s="10"/>
      <c r="DJ18" s="10"/>
      <c r="DK18" s="10"/>
      <c r="DL18" s="10"/>
      <c r="DM18" s="10"/>
      <c r="DN18" s="10"/>
      <c r="DO18" s="11">
        <v>0</v>
      </c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>
        <v>-4</v>
      </c>
      <c r="EB18" s="10"/>
      <c r="EC18" s="23">
        <v>1</v>
      </c>
      <c r="ED18" s="10"/>
      <c r="EE18" s="10"/>
      <c r="EF18" s="10"/>
      <c r="EG18" s="10"/>
      <c r="EH18" s="10"/>
      <c r="EI18" s="10"/>
      <c r="EJ18" s="10"/>
      <c r="EK18" s="11">
        <v>1</v>
      </c>
      <c r="EL18" s="5"/>
      <c r="EM18" s="10"/>
      <c r="EN18" s="10"/>
      <c r="EO18" s="10"/>
      <c r="EP18" s="10"/>
      <c r="EQ18" s="10"/>
      <c r="ER18" s="10"/>
      <c r="ES18" s="10"/>
      <c r="ET18" s="10"/>
      <c r="EU18" s="10"/>
      <c r="EV18" s="11">
        <v>0</v>
      </c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>
        <v>-3</v>
      </c>
      <c r="FH18" s="25"/>
      <c r="FI18" s="82"/>
    </row>
    <row r="19" spans="1:165" ht="18" customHeight="1" x14ac:dyDescent="0.25">
      <c r="A19" s="6" t="s">
        <v>43</v>
      </c>
      <c r="B19" s="5">
        <v>303193</v>
      </c>
      <c r="C19" s="5">
        <v>354</v>
      </c>
      <c r="D19" s="5">
        <v>337</v>
      </c>
      <c r="E19" s="5">
        <v>338</v>
      </c>
      <c r="F19" s="5">
        <v>208</v>
      </c>
      <c r="G19" s="5">
        <v>0</v>
      </c>
      <c r="H19" s="5">
        <v>9</v>
      </c>
      <c r="I19" s="5">
        <v>9</v>
      </c>
      <c r="J19" s="5">
        <v>9</v>
      </c>
      <c r="K19" s="5">
        <v>6</v>
      </c>
      <c r="L19" s="5">
        <v>0</v>
      </c>
      <c r="M19" s="7">
        <v>33</v>
      </c>
      <c r="N19" s="5">
        <v>6</v>
      </c>
      <c r="O19" s="5">
        <v>6</v>
      </c>
      <c r="P19" s="5">
        <v>6</v>
      </c>
      <c r="Q19" s="5">
        <v>6</v>
      </c>
      <c r="R19" s="5">
        <v>6</v>
      </c>
      <c r="S19" s="5">
        <v>6</v>
      </c>
      <c r="T19" s="5">
        <v>6</v>
      </c>
      <c r="U19" s="5">
        <v>7</v>
      </c>
      <c r="V19" s="5">
        <v>0</v>
      </c>
      <c r="W19" s="8">
        <v>49</v>
      </c>
      <c r="X19" s="5">
        <v>5</v>
      </c>
      <c r="Y19" s="5">
        <v>6</v>
      </c>
      <c r="Z19" s="5">
        <v>6</v>
      </c>
      <c r="AA19" s="5">
        <v>6</v>
      </c>
      <c r="AB19" s="5">
        <v>5</v>
      </c>
      <c r="AC19" s="5">
        <v>5</v>
      </c>
      <c r="AD19" s="5">
        <v>3</v>
      </c>
      <c r="AE19" s="5">
        <v>0</v>
      </c>
      <c r="AF19" s="5">
        <v>0</v>
      </c>
      <c r="AG19" s="9">
        <v>36</v>
      </c>
      <c r="AH19" s="10"/>
      <c r="AI19" s="10"/>
      <c r="AJ19" s="10"/>
      <c r="AK19" s="10"/>
      <c r="AL19" s="10"/>
      <c r="AM19" s="10"/>
      <c r="AN19" s="10"/>
      <c r="AO19" s="10"/>
      <c r="AP19" s="10"/>
      <c r="AQ19" s="11">
        <v>0</v>
      </c>
      <c r="AR19" s="6" t="s">
        <v>43</v>
      </c>
      <c r="AS19" s="10"/>
      <c r="AT19" s="10"/>
      <c r="AU19" s="10"/>
      <c r="AV19" s="10"/>
      <c r="AW19" s="10"/>
      <c r="AX19" s="10"/>
      <c r="AY19" s="10"/>
      <c r="AZ19" s="10"/>
      <c r="BA19" s="10"/>
      <c r="BB19" s="11">
        <v>0</v>
      </c>
      <c r="BC19" s="12">
        <v>1</v>
      </c>
      <c r="BD19" s="5">
        <v>0</v>
      </c>
      <c r="BE19" s="5">
        <v>0</v>
      </c>
      <c r="BF19" s="5">
        <v>0</v>
      </c>
      <c r="BG19" s="12">
        <v>1</v>
      </c>
      <c r="BH19" s="12">
        <v>1</v>
      </c>
      <c r="BI19" s="12">
        <v>3</v>
      </c>
      <c r="BJ19" s="12">
        <v>7</v>
      </c>
      <c r="BK19" s="5">
        <v>0</v>
      </c>
      <c r="BL19" s="11">
        <v>13</v>
      </c>
      <c r="BM19" s="29"/>
      <c r="BN19" s="10"/>
      <c r="BO19" s="10"/>
      <c r="BP19" s="10"/>
      <c r="BQ19" s="10"/>
      <c r="BR19" s="10"/>
      <c r="BS19" s="10"/>
      <c r="BT19" s="10"/>
      <c r="BU19" s="10"/>
      <c r="BV19" s="10"/>
      <c r="BW19" s="11">
        <v>0</v>
      </c>
      <c r="BX19" s="5"/>
      <c r="BY19" s="10"/>
      <c r="BZ19" s="10"/>
      <c r="CA19" s="10"/>
      <c r="CB19" s="10"/>
      <c r="CC19" s="10"/>
      <c r="CD19" s="10"/>
      <c r="CE19" s="10"/>
      <c r="CF19" s="10"/>
      <c r="CG19" s="10"/>
      <c r="CH19" s="11">
        <v>0</v>
      </c>
      <c r="CI19" s="5"/>
      <c r="CJ19" s="12">
        <v>1</v>
      </c>
      <c r="CK19" s="32">
        <f>BD19-1</f>
        <v>-1</v>
      </c>
      <c r="CL19" s="5">
        <v>0</v>
      </c>
      <c r="CM19" s="5">
        <v>0</v>
      </c>
      <c r="CN19" s="12">
        <v>1</v>
      </c>
      <c r="CO19" s="12">
        <v>1</v>
      </c>
      <c r="CP19" s="12">
        <v>3</v>
      </c>
      <c r="CQ19" s="12">
        <v>7</v>
      </c>
      <c r="CR19" s="5">
        <v>0</v>
      </c>
      <c r="CS19" s="11">
        <v>12</v>
      </c>
      <c r="CU19" s="10"/>
      <c r="CV19" s="10"/>
      <c r="CW19" s="10"/>
      <c r="CX19" s="10"/>
      <c r="CY19" s="10"/>
      <c r="CZ19" s="10"/>
      <c r="DA19" s="10"/>
      <c r="DB19" s="10"/>
      <c r="DC19" s="10"/>
      <c r="DD19" s="11">
        <v>0</v>
      </c>
      <c r="DE19" s="5"/>
      <c r="DF19" s="10"/>
      <c r="DG19" s="10"/>
      <c r="DH19" s="10"/>
      <c r="DI19" s="10"/>
      <c r="DJ19" s="10"/>
      <c r="DK19" s="10"/>
      <c r="DL19" s="10"/>
      <c r="DM19" s="10"/>
      <c r="DN19" s="10"/>
      <c r="DO19" s="11">
        <v>0</v>
      </c>
      <c r="DP19" s="5"/>
      <c r="DQ19" s="5"/>
      <c r="DR19" s="5"/>
      <c r="DS19" s="5"/>
      <c r="DT19" s="5"/>
      <c r="DU19" s="5"/>
      <c r="DV19" s="5"/>
      <c r="DW19" s="32">
        <v>1</v>
      </c>
      <c r="DX19" s="5"/>
      <c r="DY19" s="5"/>
      <c r="DZ19" s="11">
        <v>11</v>
      </c>
      <c r="EB19" s="10"/>
      <c r="EC19" s="10"/>
      <c r="ED19" s="10"/>
      <c r="EE19" s="10"/>
      <c r="EF19" s="10"/>
      <c r="EG19" s="10"/>
      <c r="EH19" s="10"/>
      <c r="EI19" s="10"/>
      <c r="EJ19" s="10"/>
      <c r="EK19" s="11">
        <v>0</v>
      </c>
      <c r="EL19" s="5"/>
      <c r="EM19" s="10"/>
      <c r="EN19" s="10"/>
      <c r="EO19" s="10"/>
      <c r="EP19" s="10"/>
      <c r="EQ19" s="10"/>
      <c r="ER19" s="10"/>
      <c r="ES19" s="10"/>
      <c r="ET19" s="10"/>
      <c r="EU19" s="10"/>
      <c r="EV19" s="11">
        <v>0</v>
      </c>
      <c r="EW19" s="5"/>
      <c r="EX19" s="5"/>
      <c r="EY19" s="5"/>
      <c r="EZ19" s="5"/>
      <c r="FA19" s="32">
        <v>1</v>
      </c>
      <c r="FB19" s="5"/>
      <c r="FC19" s="5"/>
      <c r="FD19" s="5"/>
      <c r="FE19" s="5"/>
      <c r="FF19" s="5"/>
      <c r="FG19" s="11">
        <v>10</v>
      </c>
      <c r="FH19" s="25"/>
    </row>
    <row r="20" spans="1:165" ht="16.2" customHeight="1" x14ac:dyDescent="0.25">
      <c r="A20" s="6" t="s">
        <v>44</v>
      </c>
      <c r="B20" s="5">
        <v>303184</v>
      </c>
      <c r="C20" s="5">
        <v>590</v>
      </c>
      <c r="D20" s="5">
        <v>562</v>
      </c>
      <c r="E20" s="5">
        <v>548</v>
      </c>
      <c r="F20" s="5">
        <v>466</v>
      </c>
      <c r="G20" s="5">
        <v>0</v>
      </c>
      <c r="H20" s="5">
        <v>15</v>
      </c>
      <c r="I20" s="5">
        <v>15</v>
      </c>
      <c r="J20" s="5">
        <v>14</v>
      </c>
      <c r="K20" s="5">
        <v>12</v>
      </c>
      <c r="L20" s="5">
        <v>0</v>
      </c>
      <c r="M20" s="7">
        <v>56</v>
      </c>
      <c r="N20" s="5">
        <v>10</v>
      </c>
      <c r="O20" s="5">
        <v>10</v>
      </c>
      <c r="P20" s="5">
        <v>10</v>
      </c>
      <c r="Q20" s="5">
        <v>10</v>
      </c>
      <c r="R20" s="5">
        <v>10</v>
      </c>
      <c r="S20" s="5">
        <v>10</v>
      </c>
      <c r="T20" s="5">
        <v>10</v>
      </c>
      <c r="U20" s="5">
        <v>11</v>
      </c>
      <c r="V20" s="5">
        <v>0</v>
      </c>
      <c r="W20" s="8">
        <v>81</v>
      </c>
      <c r="X20" s="5">
        <v>11</v>
      </c>
      <c r="Y20" s="5">
        <v>12</v>
      </c>
      <c r="Z20" s="5">
        <v>13</v>
      </c>
      <c r="AA20" s="5">
        <v>11</v>
      </c>
      <c r="AB20" s="5">
        <v>13</v>
      </c>
      <c r="AC20" s="5">
        <v>13</v>
      </c>
      <c r="AD20" s="5">
        <v>9</v>
      </c>
      <c r="AE20" s="5">
        <v>2</v>
      </c>
      <c r="AF20" s="5">
        <v>0</v>
      </c>
      <c r="AG20" s="9">
        <v>84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1">
        <v>0</v>
      </c>
      <c r="AR20" s="6" t="s">
        <v>44</v>
      </c>
      <c r="AS20" s="10"/>
      <c r="AT20" s="10"/>
      <c r="AU20" s="10"/>
      <c r="AV20" s="10"/>
      <c r="AW20" s="10"/>
      <c r="AX20" s="10"/>
      <c r="AY20" s="10"/>
      <c r="AZ20" s="10"/>
      <c r="BA20" s="10"/>
      <c r="BB20" s="11">
        <v>0</v>
      </c>
      <c r="BC20" s="5">
        <v>-1</v>
      </c>
      <c r="BD20" s="5">
        <v>-2</v>
      </c>
      <c r="BE20" s="5">
        <v>-3</v>
      </c>
      <c r="BF20" s="5">
        <v>-1</v>
      </c>
      <c r="BG20" s="5">
        <v>-3</v>
      </c>
      <c r="BH20" s="5">
        <v>-3</v>
      </c>
      <c r="BI20" s="12">
        <v>1</v>
      </c>
      <c r="BJ20" s="12">
        <v>9</v>
      </c>
      <c r="BK20" s="5">
        <v>0</v>
      </c>
      <c r="BL20" s="5">
        <v>-3</v>
      </c>
      <c r="BM20" s="29"/>
      <c r="BN20" s="10"/>
      <c r="BO20" s="10"/>
      <c r="BP20" s="10"/>
      <c r="BQ20" s="10"/>
      <c r="BR20" s="10"/>
      <c r="BS20" s="10"/>
      <c r="BT20" s="10"/>
      <c r="BU20" s="10"/>
      <c r="BV20" s="10"/>
      <c r="BW20" s="11">
        <v>0</v>
      </c>
      <c r="BX20" s="5"/>
      <c r="BY20" s="10"/>
      <c r="BZ20" s="10"/>
      <c r="CA20" s="10"/>
      <c r="CB20" s="10"/>
      <c r="CC20" s="10"/>
      <c r="CD20" s="10"/>
      <c r="CE20" s="10"/>
      <c r="CF20" s="10"/>
      <c r="CG20" s="10"/>
      <c r="CH20" s="11">
        <v>0</v>
      </c>
      <c r="CI20" s="5"/>
      <c r="CJ20" s="5">
        <v>-1</v>
      </c>
      <c r="CK20" s="5">
        <v>-2</v>
      </c>
      <c r="CL20" s="5">
        <v>-3</v>
      </c>
      <c r="CM20" s="5">
        <v>-1</v>
      </c>
      <c r="CN20" s="5">
        <v>-3</v>
      </c>
      <c r="CO20" s="5">
        <v>-3</v>
      </c>
      <c r="CP20" s="12">
        <v>1</v>
      </c>
      <c r="CQ20" s="12">
        <v>9</v>
      </c>
      <c r="CR20" s="5">
        <v>0</v>
      </c>
      <c r="CS20" s="5">
        <v>-3</v>
      </c>
      <c r="CU20" s="10"/>
      <c r="CV20" s="10"/>
      <c r="CW20" s="10"/>
      <c r="CX20" s="10"/>
      <c r="CY20" s="10"/>
      <c r="CZ20" s="10"/>
      <c r="DA20" s="10"/>
      <c r="DB20" s="10"/>
      <c r="DC20" s="10"/>
      <c r="DD20" s="11">
        <v>0</v>
      </c>
      <c r="DE20" s="5"/>
      <c r="DF20" s="10"/>
      <c r="DG20" s="10"/>
      <c r="DH20" s="10"/>
      <c r="DI20" s="10"/>
      <c r="DJ20" s="10"/>
      <c r="DK20" s="10"/>
      <c r="DL20" s="10"/>
      <c r="DM20" s="10"/>
      <c r="DN20" s="10"/>
      <c r="DO20" s="11">
        <v>0</v>
      </c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>
        <v>-3</v>
      </c>
      <c r="EB20" s="10"/>
      <c r="EC20" s="10"/>
      <c r="ED20" s="10"/>
      <c r="EE20" s="10"/>
      <c r="EF20" s="10"/>
      <c r="EG20" s="10"/>
      <c r="EH20" s="10"/>
      <c r="EI20" s="10"/>
      <c r="EJ20" s="10"/>
      <c r="EK20" s="11">
        <v>0</v>
      </c>
      <c r="EL20" s="5"/>
      <c r="EM20" s="10"/>
      <c r="EN20" s="10"/>
      <c r="EO20" s="10"/>
      <c r="EP20" s="10"/>
      <c r="EQ20" s="10"/>
      <c r="ER20" s="10"/>
      <c r="ES20" s="10"/>
      <c r="ET20" s="10"/>
      <c r="EU20" s="10"/>
      <c r="EV20" s="11">
        <v>0</v>
      </c>
      <c r="EW20" s="5"/>
      <c r="EX20" s="5"/>
      <c r="EY20" s="5"/>
      <c r="EZ20" s="5"/>
      <c r="FA20" s="5"/>
      <c r="FB20" s="5"/>
      <c r="FC20" s="5"/>
      <c r="FD20" s="32">
        <v>1</v>
      </c>
      <c r="FE20" s="5"/>
      <c r="FF20" s="5"/>
      <c r="FG20" s="5">
        <v>-4</v>
      </c>
      <c r="FH20" s="25"/>
    </row>
    <row r="21" spans="1:165" ht="16.8" customHeight="1" x14ac:dyDescent="0.25">
      <c r="A21" s="6" t="s">
        <v>45</v>
      </c>
      <c r="B21" s="5">
        <v>303185</v>
      </c>
      <c r="C21" s="5">
        <v>28</v>
      </c>
      <c r="D21" s="5">
        <v>27</v>
      </c>
      <c r="E21" s="5">
        <v>41</v>
      </c>
      <c r="F21" s="5">
        <v>57</v>
      </c>
      <c r="G21" s="5">
        <v>0</v>
      </c>
      <c r="H21" s="5">
        <v>1</v>
      </c>
      <c r="I21" s="5">
        <v>1</v>
      </c>
      <c r="J21" s="5">
        <v>2</v>
      </c>
      <c r="K21" s="5">
        <v>2</v>
      </c>
      <c r="L21" s="5">
        <v>0</v>
      </c>
      <c r="M21" s="7">
        <v>6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0</v>
      </c>
      <c r="W21" s="8">
        <v>8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2</v>
      </c>
      <c r="AD21" s="5">
        <v>1</v>
      </c>
      <c r="AE21" s="5">
        <v>0</v>
      </c>
      <c r="AF21" s="5">
        <v>0</v>
      </c>
      <c r="AG21" s="9">
        <v>8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1">
        <v>0</v>
      </c>
      <c r="AR21" s="6" t="s">
        <v>45</v>
      </c>
      <c r="AS21" s="10"/>
      <c r="AT21" s="10"/>
      <c r="AU21" s="10"/>
      <c r="AV21" s="10"/>
      <c r="AW21" s="10"/>
      <c r="AX21" s="10"/>
      <c r="AY21" s="10"/>
      <c r="AZ21" s="10"/>
      <c r="BA21" s="10"/>
      <c r="BB21" s="11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-1</v>
      </c>
      <c r="BI21" s="5">
        <v>0</v>
      </c>
      <c r="BJ21" s="12">
        <v>1</v>
      </c>
      <c r="BK21" s="5">
        <v>0</v>
      </c>
      <c r="BL21" s="11">
        <v>0</v>
      </c>
      <c r="BM21" s="29"/>
      <c r="BN21" s="10"/>
      <c r="BO21" s="10"/>
      <c r="BP21" s="10"/>
      <c r="BQ21" s="10"/>
      <c r="BR21" s="10"/>
      <c r="BS21" s="10"/>
      <c r="BT21" s="10"/>
      <c r="BU21" s="10"/>
      <c r="BV21" s="10"/>
      <c r="BW21" s="11">
        <v>0</v>
      </c>
      <c r="BX21" s="5"/>
      <c r="BY21" s="10"/>
      <c r="BZ21" s="10"/>
      <c r="CA21" s="10"/>
      <c r="CB21" s="10"/>
      <c r="CC21" s="10"/>
      <c r="CD21" s="10"/>
      <c r="CE21" s="10"/>
      <c r="CF21" s="10"/>
      <c r="CG21" s="10"/>
      <c r="CH21" s="11">
        <v>0</v>
      </c>
      <c r="CI21" s="5"/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-1</v>
      </c>
      <c r="CP21" s="5">
        <v>0</v>
      </c>
      <c r="CQ21" s="12">
        <v>1</v>
      </c>
      <c r="CR21" s="5">
        <v>0</v>
      </c>
      <c r="CS21" s="11">
        <v>0</v>
      </c>
      <c r="CU21" s="10"/>
      <c r="CV21" s="10"/>
      <c r="CW21" s="10"/>
      <c r="CX21" s="10"/>
      <c r="CY21" s="10"/>
      <c r="CZ21" s="10"/>
      <c r="DA21" s="10"/>
      <c r="DB21" s="10"/>
      <c r="DC21" s="10"/>
      <c r="DD21" s="11">
        <v>0</v>
      </c>
      <c r="DE21" s="5"/>
      <c r="DF21" s="10"/>
      <c r="DG21" s="10"/>
      <c r="DH21" s="10"/>
      <c r="DI21" s="10"/>
      <c r="DJ21" s="10"/>
      <c r="DK21" s="10"/>
      <c r="DL21" s="10"/>
      <c r="DM21" s="10"/>
      <c r="DN21" s="10"/>
      <c r="DO21" s="11">
        <v>0</v>
      </c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11">
        <v>0</v>
      </c>
      <c r="EB21" s="10"/>
      <c r="EC21" s="10"/>
      <c r="ED21" s="10"/>
      <c r="EE21" s="10"/>
      <c r="EF21" s="10"/>
      <c r="EG21" s="10"/>
      <c r="EH21" s="10"/>
      <c r="EI21" s="10"/>
      <c r="EJ21" s="10"/>
      <c r="EK21" s="11">
        <v>0</v>
      </c>
      <c r="EL21" s="5"/>
      <c r="EM21" s="10"/>
      <c r="EN21" s="10"/>
      <c r="EO21" s="10"/>
      <c r="EP21" s="10"/>
      <c r="EQ21" s="10"/>
      <c r="ER21" s="10"/>
      <c r="ES21" s="10"/>
      <c r="ET21" s="10"/>
      <c r="EU21" s="10"/>
      <c r="EV21" s="11">
        <v>0</v>
      </c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11">
        <v>0</v>
      </c>
      <c r="FH21" s="25"/>
    </row>
    <row r="22" spans="1:165" ht="16.8" customHeight="1" x14ac:dyDescent="0.25">
      <c r="A22" s="6" t="s">
        <v>46</v>
      </c>
      <c r="B22" s="5">
        <v>303191</v>
      </c>
      <c r="C22" s="5">
        <v>47</v>
      </c>
      <c r="D22" s="5">
        <v>45</v>
      </c>
      <c r="E22" s="5">
        <v>60</v>
      </c>
      <c r="F22" s="5">
        <v>50</v>
      </c>
      <c r="G22" s="5">
        <v>0</v>
      </c>
      <c r="H22" s="5">
        <v>2</v>
      </c>
      <c r="I22" s="5">
        <v>2</v>
      </c>
      <c r="J22" s="5">
        <v>2</v>
      </c>
      <c r="K22" s="5">
        <v>2</v>
      </c>
      <c r="L22" s="5">
        <v>0</v>
      </c>
      <c r="M22" s="7">
        <v>8</v>
      </c>
      <c r="N22" s="5">
        <v>2</v>
      </c>
      <c r="O22" s="5">
        <v>2</v>
      </c>
      <c r="P22" s="5">
        <v>2</v>
      </c>
      <c r="Q22" s="5">
        <v>2</v>
      </c>
      <c r="R22" s="5">
        <v>2</v>
      </c>
      <c r="S22" s="5">
        <v>2</v>
      </c>
      <c r="T22" s="5">
        <v>2</v>
      </c>
      <c r="U22" s="5">
        <v>2</v>
      </c>
      <c r="V22" s="5">
        <v>0</v>
      </c>
      <c r="W22" s="8">
        <v>16</v>
      </c>
      <c r="X22" s="5">
        <v>2</v>
      </c>
      <c r="Y22" s="5">
        <v>2</v>
      </c>
      <c r="Z22" s="5">
        <v>2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0</v>
      </c>
      <c r="AG22" s="9">
        <v>11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1">
        <v>0</v>
      </c>
      <c r="AR22" s="6" t="s">
        <v>46</v>
      </c>
      <c r="AS22" s="10"/>
      <c r="AT22" s="12">
        <v>1</v>
      </c>
      <c r="AU22" s="10"/>
      <c r="AV22" s="10"/>
      <c r="AW22" s="10"/>
      <c r="AX22" s="10"/>
      <c r="AY22" s="10"/>
      <c r="AZ22" s="10"/>
      <c r="BA22" s="10"/>
      <c r="BB22" s="11">
        <v>1</v>
      </c>
      <c r="BC22" s="5">
        <v>0</v>
      </c>
      <c r="BD22" s="12">
        <v>1</v>
      </c>
      <c r="BE22" s="5">
        <v>0</v>
      </c>
      <c r="BF22" s="12">
        <v>1</v>
      </c>
      <c r="BG22" s="12">
        <v>1</v>
      </c>
      <c r="BH22" s="12">
        <v>1</v>
      </c>
      <c r="BI22" s="12">
        <v>1</v>
      </c>
      <c r="BJ22" s="12">
        <v>1</v>
      </c>
      <c r="BK22" s="5">
        <v>0</v>
      </c>
      <c r="BL22" s="11">
        <v>5</v>
      </c>
      <c r="BM22" s="29"/>
      <c r="BN22" s="10"/>
      <c r="BO22" s="5"/>
      <c r="BP22" s="10"/>
      <c r="BQ22" s="10"/>
      <c r="BR22" s="10"/>
      <c r="BS22" s="10"/>
      <c r="BT22" s="23">
        <v>1</v>
      </c>
      <c r="BU22" s="10"/>
      <c r="BV22" s="10"/>
      <c r="BW22" s="11">
        <v>1</v>
      </c>
      <c r="BX22" s="5"/>
      <c r="BY22" s="10"/>
      <c r="BZ22" s="10"/>
      <c r="CA22" s="10"/>
      <c r="CB22" s="10"/>
      <c r="CC22" s="10"/>
      <c r="CD22" s="10"/>
      <c r="CE22" s="10"/>
      <c r="CF22" s="10"/>
      <c r="CG22" s="10"/>
      <c r="CH22" s="11">
        <v>0</v>
      </c>
      <c r="CI22" s="5"/>
      <c r="CJ22" s="5">
        <v>0</v>
      </c>
      <c r="CK22" s="12">
        <v>1</v>
      </c>
      <c r="CL22" s="5">
        <v>0</v>
      </c>
      <c r="CM22" s="32">
        <f>BE22-1</f>
        <v>-1</v>
      </c>
      <c r="CN22" s="32">
        <f>BG22-1</f>
        <v>0</v>
      </c>
      <c r="CO22" s="12">
        <v>1</v>
      </c>
      <c r="CP22" s="80">
        <f>BI22-BT22+1</f>
        <v>1</v>
      </c>
      <c r="CQ22" s="12">
        <v>1</v>
      </c>
      <c r="CR22" s="5">
        <v>0</v>
      </c>
      <c r="CS22" s="11">
        <v>3</v>
      </c>
      <c r="CU22" s="10"/>
      <c r="CV22" s="22">
        <v>1</v>
      </c>
      <c r="CW22" s="10"/>
      <c r="CX22" s="10"/>
      <c r="CY22" s="10"/>
      <c r="CZ22" s="10"/>
      <c r="DA22" s="10"/>
      <c r="DB22" s="10"/>
      <c r="DC22" s="10"/>
      <c r="DD22" s="11">
        <v>1</v>
      </c>
      <c r="DE22" s="5"/>
      <c r="DF22" s="10"/>
      <c r="DG22" s="10"/>
      <c r="DH22" s="10"/>
      <c r="DI22" s="10"/>
      <c r="DJ22" s="10"/>
      <c r="DK22" s="10"/>
      <c r="DL22" s="10"/>
      <c r="DM22" s="10"/>
      <c r="DN22" s="10"/>
      <c r="DO22" s="11">
        <v>0</v>
      </c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11">
        <v>4</v>
      </c>
      <c r="EB22" s="10"/>
      <c r="EC22" s="5"/>
      <c r="ED22" s="10"/>
      <c r="EE22" s="10"/>
      <c r="EF22" s="10"/>
      <c r="EG22" s="10"/>
      <c r="EH22" s="10"/>
      <c r="EI22" s="10"/>
      <c r="EJ22" s="10"/>
      <c r="EK22" s="11">
        <v>0</v>
      </c>
      <c r="EL22" s="5"/>
      <c r="EM22" s="10"/>
      <c r="EN22" s="10"/>
      <c r="EO22" s="10"/>
      <c r="EP22" s="10"/>
      <c r="EQ22" s="10"/>
      <c r="ER22" s="10"/>
      <c r="ES22" s="10"/>
      <c r="ET22" s="10"/>
      <c r="EU22" s="10"/>
      <c r="EV22" s="11">
        <v>0</v>
      </c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11">
        <v>4</v>
      </c>
      <c r="FH22" s="25"/>
    </row>
    <row r="23" spans="1:165" ht="16.8" customHeight="1" x14ac:dyDescent="0.25">
      <c r="A23" s="6" t="s">
        <v>47</v>
      </c>
      <c r="B23" s="5">
        <v>303173</v>
      </c>
      <c r="C23" s="5">
        <v>55</v>
      </c>
      <c r="D23" s="5">
        <v>52</v>
      </c>
      <c r="E23" s="5">
        <v>43</v>
      </c>
      <c r="F23" s="5">
        <v>25</v>
      </c>
      <c r="G23" s="5">
        <v>0</v>
      </c>
      <c r="H23" s="5">
        <v>2</v>
      </c>
      <c r="I23" s="5">
        <v>2</v>
      </c>
      <c r="J23" s="5">
        <v>2</v>
      </c>
      <c r="K23" s="5">
        <v>1</v>
      </c>
      <c r="L23" s="5">
        <v>0</v>
      </c>
      <c r="M23" s="7">
        <v>7</v>
      </c>
      <c r="N23" s="5">
        <v>2</v>
      </c>
      <c r="O23" s="5">
        <v>2</v>
      </c>
      <c r="P23" s="5">
        <v>2</v>
      </c>
      <c r="Q23" s="5">
        <v>2</v>
      </c>
      <c r="R23" s="5">
        <v>2</v>
      </c>
      <c r="S23" s="5">
        <v>2</v>
      </c>
      <c r="T23" s="5">
        <v>2</v>
      </c>
      <c r="U23" s="5">
        <v>1</v>
      </c>
      <c r="V23" s="5">
        <v>0</v>
      </c>
      <c r="W23" s="8">
        <v>15</v>
      </c>
      <c r="X23" s="5">
        <v>1</v>
      </c>
      <c r="Y23" s="5">
        <v>1</v>
      </c>
      <c r="Z23" s="5">
        <v>1</v>
      </c>
      <c r="AA23" s="5">
        <v>2</v>
      </c>
      <c r="AB23" s="5">
        <v>1</v>
      </c>
      <c r="AC23" s="5">
        <v>1</v>
      </c>
      <c r="AD23" s="5">
        <v>1</v>
      </c>
      <c r="AE23" s="5">
        <v>0</v>
      </c>
      <c r="AF23" s="5">
        <v>0</v>
      </c>
      <c r="AG23" s="9">
        <v>8</v>
      </c>
      <c r="AH23" s="10"/>
      <c r="AI23" s="10"/>
      <c r="AJ23" s="10"/>
      <c r="AK23" s="10"/>
      <c r="AL23" s="10"/>
      <c r="AM23" s="10"/>
      <c r="AN23" s="10"/>
      <c r="AO23" s="10"/>
      <c r="AP23" s="10"/>
      <c r="AQ23" s="11">
        <v>0</v>
      </c>
      <c r="AR23" s="6" t="s">
        <v>47</v>
      </c>
      <c r="AS23" s="10"/>
      <c r="AT23" s="10"/>
      <c r="AU23" s="10"/>
      <c r="AV23" s="10"/>
      <c r="AW23" s="10"/>
      <c r="AX23" s="10"/>
      <c r="AY23" s="10"/>
      <c r="AZ23" s="10"/>
      <c r="BA23" s="10"/>
      <c r="BB23" s="11">
        <v>0</v>
      </c>
      <c r="BC23" s="12">
        <v>1</v>
      </c>
      <c r="BD23" s="12">
        <v>1</v>
      </c>
      <c r="BE23" s="12">
        <v>1</v>
      </c>
      <c r="BF23" s="5">
        <v>0</v>
      </c>
      <c r="BG23" s="12">
        <v>1</v>
      </c>
      <c r="BH23" s="12">
        <v>1</v>
      </c>
      <c r="BI23" s="12">
        <v>1</v>
      </c>
      <c r="BJ23" s="12">
        <v>1</v>
      </c>
      <c r="BK23" s="5">
        <v>0</v>
      </c>
      <c r="BL23" s="11">
        <v>7</v>
      </c>
      <c r="BM23" s="29"/>
      <c r="BN23" s="10"/>
      <c r="BO23" s="10"/>
      <c r="BP23" s="10"/>
      <c r="BQ23" s="10"/>
      <c r="BR23" s="10"/>
      <c r="BS23" s="10"/>
      <c r="BT23" s="10"/>
      <c r="BU23" s="10"/>
      <c r="BV23" s="10"/>
      <c r="BW23" s="11">
        <v>0</v>
      </c>
      <c r="BX23" s="5"/>
      <c r="BY23" s="10"/>
      <c r="BZ23" s="10"/>
      <c r="CA23" s="10"/>
      <c r="CB23" s="10"/>
      <c r="CC23" s="10"/>
      <c r="CD23" s="10"/>
      <c r="CE23" s="10"/>
      <c r="CF23" s="10"/>
      <c r="CG23" s="10"/>
      <c r="CH23" s="11">
        <v>0</v>
      </c>
      <c r="CI23" s="5"/>
      <c r="CJ23" s="12">
        <v>1</v>
      </c>
      <c r="CK23" s="12">
        <v>1</v>
      </c>
      <c r="CL23" s="12">
        <v>1</v>
      </c>
      <c r="CM23" s="5">
        <v>0</v>
      </c>
      <c r="CN23" s="12">
        <v>1</v>
      </c>
      <c r="CO23" s="32">
        <f>BH23-1</f>
        <v>0</v>
      </c>
      <c r="CP23" s="12">
        <v>1</v>
      </c>
      <c r="CQ23" s="12">
        <v>1</v>
      </c>
      <c r="CR23" s="5">
        <v>0</v>
      </c>
      <c r="CS23" s="11">
        <v>6</v>
      </c>
      <c r="CU23" s="10"/>
      <c r="CV23" s="10"/>
      <c r="CW23" s="10"/>
      <c r="CX23" s="10"/>
      <c r="CY23" s="10"/>
      <c r="CZ23" s="10"/>
      <c r="DA23" s="10"/>
      <c r="DB23" s="10"/>
      <c r="DC23" s="10"/>
      <c r="DD23" s="11">
        <v>0</v>
      </c>
      <c r="DE23" s="5"/>
      <c r="DF23" s="10"/>
      <c r="DG23" s="10"/>
      <c r="DH23" s="10"/>
      <c r="DI23" s="10"/>
      <c r="DJ23" s="10"/>
      <c r="DK23" s="10"/>
      <c r="DL23" s="10"/>
      <c r="DM23" s="10"/>
      <c r="DN23" s="10"/>
      <c r="DO23" s="11">
        <v>0</v>
      </c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11">
        <v>6</v>
      </c>
      <c r="EB23" s="10"/>
      <c r="EC23" s="10"/>
      <c r="ED23" s="10"/>
      <c r="EE23" s="10"/>
      <c r="EF23" s="10"/>
      <c r="EG23" s="10"/>
      <c r="EH23" s="10"/>
      <c r="EI23" s="10"/>
      <c r="EJ23" s="10"/>
      <c r="EK23" s="11">
        <v>0</v>
      </c>
      <c r="EL23" s="5"/>
      <c r="EM23" s="10"/>
      <c r="EN23" s="31">
        <v>1</v>
      </c>
      <c r="EO23" s="10"/>
      <c r="EP23" s="10"/>
      <c r="EQ23" s="10"/>
      <c r="ER23" s="10"/>
      <c r="ES23" s="10"/>
      <c r="ET23" s="10"/>
      <c r="EU23" s="10"/>
      <c r="EV23" s="11">
        <v>1</v>
      </c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11">
        <v>5</v>
      </c>
      <c r="FH23" s="25"/>
    </row>
    <row r="24" spans="1:165" ht="16.8" customHeight="1" x14ac:dyDescent="0.25">
      <c r="A24" s="6" t="s">
        <v>48</v>
      </c>
      <c r="B24" s="5">
        <v>303179</v>
      </c>
      <c r="C24" s="5">
        <v>219</v>
      </c>
      <c r="D24" s="5">
        <v>209</v>
      </c>
      <c r="E24" s="5">
        <v>218</v>
      </c>
      <c r="F24" s="5">
        <v>146</v>
      </c>
      <c r="G24" s="5">
        <v>0</v>
      </c>
      <c r="H24" s="5">
        <v>6</v>
      </c>
      <c r="I24" s="5">
        <v>6</v>
      </c>
      <c r="J24" s="5">
        <v>6</v>
      </c>
      <c r="K24" s="5">
        <v>4</v>
      </c>
      <c r="L24" s="5">
        <v>0</v>
      </c>
      <c r="M24" s="7">
        <v>22</v>
      </c>
      <c r="N24" s="5">
        <v>4</v>
      </c>
      <c r="O24" s="5">
        <v>4</v>
      </c>
      <c r="P24" s="5">
        <v>4</v>
      </c>
      <c r="Q24" s="5">
        <v>4</v>
      </c>
      <c r="R24" s="5">
        <v>4</v>
      </c>
      <c r="S24" s="5">
        <v>4</v>
      </c>
      <c r="T24" s="5">
        <v>4</v>
      </c>
      <c r="U24" s="5">
        <v>4</v>
      </c>
      <c r="V24" s="5">
        <v>0</v>
      </c>
      <c r="W24" s="8">
        <v>32</v>
      </c>
      <c r="X24" s="5">
        <v>3</v>
      </c>
      <c r="Y24" s="5">
        <v>4</v>
      </c>
      <c r="Z24" s="5">
        <v>5</v>
      </c>
      <c r="AA24" s="5">
        <v>3</v>
      </c>
      <c r="AB24" s="5">
        <v>3</v>
      </c>
      <c r="AC24" s="5">
        <v>4</v>
      </c>
      <c r="AD24" s="5">
        <v>1</v>
      </c>
      <c r="AE24" s="5">
        <v>0</v>
      </c>
      <c r="AF24" s="5">
        <v>0</v>
      </c>
      <c r="AG24" s="9">
        <v>23</v>
      </c>
      <c r="AH24" s="10"/>
      <c r="AI24" s="10"/>
      <c r="AJ24" s="10"/>
      <c r="AK24" s="10"/>
      <c r="AL24" s="10"/>
      <c r="AM24" s="10"/>
      <c r="AN24" s="10"/>
      <c r="AO24" s="10"/>
      <c r="AP24" s="10"/>
      <c r="AQ24" s="11">
        <v>0</v>
      </c>
      <c r="AR24" s="6" t="s">
        <v>48</v>
      </c>
      <c r="AS24" s="10"/>
      <c r="AT24" s="10"/>
      <c r="AU24" s="10"/>
      <c r="AV24" s="10"/>
      <c r="AW24" s="10"/>
      <c r="AX24" s="10"/>
      <c r="AY24" s="10"/>
      <c r="AZ24" s="10"/>
      <c r="BA24" s="10"/>
      <c r="BB24" s="11">
        <v>0</v>
      </c>
      <c r="BC24" s="12">
        <v>1</v>
      </c>
      <c r="BD24" s="5">
        <v>0</v>
      </c>
      <c r="BE24" s="5">
        <v>-1</v>
      </c>
      <c r="BF24" s="12">
        <v>1</v>
      </c>
      <c r="BG24" s="12">
        <v>1</v>
      </c>
      <c r="BH24" s="5">
        <v>0</v>
      </c>
      <c r="BI24" s="12">
        <v>3</v>
      </c>
      <c r="BJ24" s="12">
        <v>4</v>
      </c>
      <c r="BK24" s="5">
        <v>0</v>
      </c>
      <c r="BL24" s="11">
        <v>9</v>
      </c>
      <c r="BM24" s="29"/>
      <c r="BN24" s="10"/>
      <c r="BO24" s="10"/>
      <c r="BP24" s="10"/>
      <c r="BQ24" s="10"/>
      <c r="BR24" s="10"/>
      <c r="BS24" s="10"/>
      <c r="BT24" s="10"/>
      <c r="BU24" s="10"/>
      <c r="BV24" s="10"/>
      <c r="BW24" s="11">
        <v>0</v>
      </c>
      <c r="BX24" s="5"/>
      <c r="BY24" s="10"/>
      <c r="BZ24" s="10"/>
      <c r="CA24" s="10"/>
      <c r="CB24" s="10"/>
      <c r="CC24" s="10"/>
      <c r="CD24" s="10"/>
      <c r="CE24" s="10"/>
      <c r="CF24" s="10"/>
      <c r="CG24" s="10"/>
      <c r="CH24" s="11">
        <v>0</v>
      </c>
      <c r="CI24" s="5"/>
      <c r="CJ24" s="12">
        <v>1</v>
      </c>
      <c r="CK24" s="5">
        <v>0</v>
      </c>
      <c r="CL24" s="5">
        <v>-1</v>
      </c>
      <c r="CM24" s="12">
        <v>1</v>
      </c>
      <c r="CN24" s="12">
        <v>1</v>
      </c>
      <c r="CO24" s="5">
        <v>0</v>
      </c>
      <c r="CP24" s="12">
        <v>3</v>
      </c>
      <c r="CQ24" s="12">
        <v>4</v>
      </c>
      <c r="CR24" s="5">
        <v>0</v>
      </c>
      <c r="CS24" s="11">
        <v>9</v>
      </c>
      <c r="CU24" s="10"/>
      <c r="CV24" s="10"/>
      <c r="CW24" s="10"/>
      <c r="CX24" s="10"/>
      <c r="CY24" s="10"/>
      <c r="CZ24" s="10"/>
      <c r="DA24" s="10"/>
      <c r="DB24" s="10"/>
      <c r="DC24" s="10"/>
      <c r="DD24" s="11">
        <v>0</v>
      </c>
      <c r="DE24" s="5"/>
      <c r="DF24" s="10"/>
      <c r="DG24" s="10"/>
      <c r="DH24" s="10"/>
      <c r="DI24" s="10"/>
      <c r="DJ24" s="10"/>
      <c r="DK24" s="10"/>
      <c r="DL24" s="10"/>
      <c r="DM24" s="10"/>
      <c r="DN24" s="10"/>
      <c r="DO24" s="11">
        <v>0</v>
      </c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11">
        <v>9</v>
      </c>
      <c r="EB24" s="10"/>
      <c r="EC24" s="10"/>
      <c r="ED24" s="10"/>
      <c r="EE24" s="10"/>
      <c r="EF24" s="10"/>
      <c r="EG24" s="10"/>
      <c r="EH24" s="10"/>
      <c r="EI24" s="10"/>
      <c r="EJ24" s="10"/>
      <c r="EK24" s="11">
        <v>0</v>
      </c>
      <c r="EL24" s="5"/>
      <c r="EM24" s="10"/>
      <c r="EN24" s="10"/>
      <c r="EO24" s="10"/>
      <c r="EP24" s="10"/>
      <c r="EQ24" s="10"/>
      <c r="ER24" s="10"/>
      <c r="ES24" s="10"/>
      <c r="ET24" s="10"/>
      <c r="EU24" s="10"/>
      <c r="EV24" s="11">
        <v>0</v>
      </c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11">
        <v>9</v>
      </c>
      <c r="FH24" s="25"/>
    </row>
    <row r="25" spans="1:165" ht="16.8" customHeight="1" x14ac:dyDescent="0.25">
      <c r="A25" s="6" t="s">
        <v>49</v>
      </c>
      <c r="B25" s="5">
        <v>303187</v>
      </c>
      <c r="C25" s="5">
        <v>381</v>
      </c>
      <c r="D25" s="5">
        <v>363</v>
      </c>
      <c r="E25" s="5">
        <v>317</v>
      </c>
      <c r="F25" s="5">
        <v>283</v>
      </c>
      <c r="G25" s="5">
        <v>0</v>
      </c>
      <c r="H25" s="5">
        <v>10</v>
      </c>
      <c r="I25" s="5">
        <v>10</v>
      </c>
      <c r="J25" s="5">
        <v>8</v>
      </c>
      <c r="K25" s="5">
        <v>8</v>
      </c>
      <c r="L25" s="5">
        <v>0</v>
      </c>
      <c r="M25" s="7">
        <v>36</v>
      </c>
      <c r="N25" s="5">
        <v>6</v>
      </c>
      <c r="O25" s="5">
        <v>6</v>
      </c>
      <c r="P25" s="5">
        <v>6</v>
      </c>
      <c r="Q25" s="5">
        <v>6</v>
      </c>
      <c r="R25" s="5">
        <v>6</v>
      </c>
      <c r="S25" s="5">
        <v>6</v>
      </c>
      <c r="T25" s="5">
        <v>6</v>
      </c>
      <c r="U25" s="5">
        <v>7</v>
      </c>
      <c r="V25" s="5">
        <v>0</v>
      </c>
      <c r="W25" s="8">
        <v>49</v>
      </c>
      <c r="X25" s="5">
        <v>7</v>
      </c>
      <c r="Y25" s="5">
        <v>8</v>
      </c>
      <c r="Z25" s="5">
        <v>9</v>
      </c>
      <c r="AA25" s="5">
        <v>7</v>
      </c>
      <c r="AB25" s="5">
        <v>5</v>
      </c>
      <c r="AC25" s="5">
        <v>8</v>
      </c>
      <c r="AD25" s="5">
        <v>6</v>
      </c>
      <c r="AE25" s="5">
        <v>3</v>
      </c>
      <c r="AF25" s="5">
        <v>0</v>
      </c>
      <c r="AG25" s="9">
        <v>53</v>
      </c>
      <c r="AH25" s="10"/>
      <c r="AI25" s="10"/>
      <c r="AJ25" s="10"/>
      <c r="AK25" s="10"/>
      <c r="AL25" s="10"/>
      <c r="AM25" s="10"/>
      <c r="AN25" s="10"/>
      <c r="AO25" s="10"/>
      <c r="AP25" s="10"/>
      <c r="AQ25" s="11">
        <v>0</v>
      </c>
      <c r="AR25" s="6" t="s">
        <v>49</v>
      </c>
      <c r="AS25" s="10"/>
      <c r="AT25" s="10"/>
      <c r="AU25" s="10"/>
      <c r="AV25" s="10"/>
      <c r="AW25" s="10"/>
      <c r="AX25" s="10"/>
      <c r="AY25" s="10"/>
      <c r="AZ25" s="10"/>
      <c r="BA25" s="10"/>
      <c r="BB25" s="11">
        <v>0</v>
      </c>
      <c r="BC25" s="5">
        <v>-1</v>
      </c>
      <c r="BD25" s="5">
        <v>-2</v>
      </c>
      <c r="BE25" s="5">
        <v>-3</v>
      </c>
      <c r="BF25" s="5">
        <v>-1</v>
      </c>
      <c r="BG25" s="12">
        <v>1</v>
      </c>
      <c r="BH25" s="5">
        <v>-2</v>
      </c>
      <c r="BI25" s="5">
        <v>0</v>
      </c>
      <c r="BJ25" s="12">
        <v>4</v>
      </c>
      <c r="BK25" s="5">
        <v>0</v>
      </c>
      <c r="BL25" s="5">
        <v>-4</v>
      </c>
      <c r="BM25" s="29"/>
      <c r="BN25" s="10"/>
      <c r="BO25" s="10"/>
      <c r="BP25" s="10"/>
      <c r="BQ25" s="10"/>
      <c r="BR25" s="10"/>
      <c r="BS25" s="10"/>
      <c r="BT25" s="10"/>
      <c r="BU25" s="10"/>
      <c r="BV25" s="10"/>
      <c r="BW25" s="11">
        <v>0</v>
      </c>
      <c r="BX25" s="5"/>
      <c r="BY25" s="10"/>
      <c r="BZ25" s="10"/>
      <c r="CA25" s="10"/>
      <c r="CB25" s="10"/>
      <c r="CC25" s="10"/>
      <c r="CD25" s="10"/>
      <c r="CE25" s="10"/>
      <c r="CF25" s="10"/>
      <c r="CG25" s="10"/>
      <c r="CH25" s="11">
        <v>0</v>
      </c>
      <c r="CI25" s="5"/>
      <c r="CJ25" s="5">
        <v>-1</v>
      </c>
      <c r="CK25" s="5">
        <v>-2</v>
      </c>
      <c r="CL25" s="5">
        <v>-3</v>
      </c>
      <c r="CM25" s="5">
        <v>-1</v>
      </c>
      <c r="CN25" s="12">
        <v>1</v>
      </c>
      <c r="CO25" s="5">
        <v>-2</v>
      </c>
      <c r="CP25" s="5">
        <v>0</v>
      </c>
      <c r="CQ25" s="80">
        <f>BJ25-1</f>
        <v>3</v>
      </c>
      <c r="CR25" s="5">
        <v>0</v>
      </c>
      <c r="CS25" s="5">
        <v>-5</v>
      </c>
      <c r="CU25" s="10"/>
      <c r="CV25" s="10"/>
      <c r="CW25" s="10"/>
      <c r="CX25" s="10"/>
      <c r="CY25" s="10"/>
      <c r="CZ25" s="10"/>
      <c r="DA25" s="10"/>
      <c r="DB25" s="10"/>
      <c r="DC25" s="10"/>
      <c r="DD25" s="11">
        <v>0</v>
      </c>
      <c r="DE25" s="5"/>
      <c r="DF25" s="10"/>
      <c r="DG25" s="10"/>
      <c r="DH25" s="10"/>
      <c r="DI25" s="10"/>
      <c r="DJ25" s="10"/>
      <c r="DK25" s="10"/>
      <c r="DL25" s="10"/>
      <c r="DM25" s="10"/>
      <c r="DN25" s="10"/>
      <c r="DO25" s="11">
        <v>0</v>
      </c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>
        <v>-5</v>
      </c>
      <c r="EB25" s="10"/>
      <c r="EC25" s="10"/>
      <c r="ED25" s="10"/>
      <c r="EE25" s="10"/>
      <c r="EF25" s="10"/>
      <c r="EG25" s="10"/>
      <c r="EH25" s="10"/>
      <c r="EI25" s="10"/>
      <c r="EJ25" s="10"/>
      <c r="EK25" s="11">
        <v>0</v>
      </c>
      <c r="EL25" s="5"/>
      <c r="EM25" s="10"/>
      <c r="EN25" s="10"/>
      <c r="EO25" s="10"/>
      <c r="EP25" s="10"/>
      <c r="EQ25" s="10"/>
      <c r="ER25" s="10"/>
      <c r="ES25" s="10"/>
      <c r="ET25" s="10"/>
      <c r="EU25" s="10"/>
      <c r="EV25" s="11">
        <v>0</v>
      </c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>
        <v>-5</v>
      </c>
      <c r="FH25" s="25"/>
    </row>
    <row r="26" spans="1:165" ht="16.8" customHeight="1" x14ac:dyDescent="0.25">
      <c r="A26" s="6" t="s">
        <v>50</v>
      </c>
      <c r="B26" s="5">
        <v>303188</v>
      </c>
      <c r="C26" s="5">
        <v>18</v>
      </c>
      <c r="D26" s="5">
        <v>17</v>
      </c>
      <c r="E26" s="5">
        <v>25</v>
      </c>
      <c r="F26" s="5">
        <v>21</v>
      </c>
      <c r="G26" s="5">
        <v>0</v>
      </c>
      <c r="H26" s="5">
        <v>1</v>
      </c>
      <c r="I26" s="5">
        <v>1</v>
      </c>
      <c r="J26" s="5">
        <v>1</v>
      </c>
      <c r="K26" s="5">
        <v>1</v>
      </c>
      <c r="L26" s="5">
        <v>0</v>
      </c>
      <c r="M26" s="7">
        <v>4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0</v>
      </c>
      <c r="W26" s="8">
        <v>8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3</v>
      </c>
      <c r="AD26" s="5">
        <v>1</v>
      </c>
      <c r="AE26" s="5">
        <v>0</v>
      </c>
      <c r="AF26" s="5">
        <v>0</v>
      </c>
      <c r="AG26" s="9">
        <v>9</v>
      </c>
      <c r="AH26" s="10"/>
      <c r="AI26" s="10"/>
      <c r="AJ26" s="10"/>
      <c r="AK26" s="10"/>
      <c r="AL26" s="10"/>
      <c r="AM26" s="10"/>
      <c r="AN26" s="10"/>
      <c r="AO26" s="10"/>
      <c r="AP26" s="10"/>
      <c r="AQ26" s="11">
        <v>0</v>
      </c>
      <c r="AR26" s="6" t="s">
        <v>50</v>
      </c>
      <c r="AS26" s="10"/>
      <c r="AT26" s="10"/>
      <c r="AU26" s="10"/>
      <c r="AV26" s="10"/>
      <c r="AW26" s="10"/>
      <c r="AX26" s="10"/>
      <c r="AY26" s="10"/>
      <c r="AZ26" s="10"/>
      <c r="BA26" s="10"/>
      <c r="BB26" s="11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-2</v>
      </c>
      <c r="BI26" s="5">
        <v>0</v>
      </c>
      <c r="BJ26" s="12">
        <v>1</v>
      </c>
      <c r="BK26" s="5">
        <v>0</v>
      </c>
      <c r="BL26" s="5">
        <v>-1</v>
      </c>
      <c r="BM26" s="29"/>
      <c r="BN26" s="10"/>
      <c r="BO26" s="10"/>
      <c r="BP26" s="10"/>
      <c r="BQ26" s="10"/>
      <c r="BR26" s="10"/>
      <c r="BS26" s="10"/>
      <c r="BT26" s="10"/>
      <c r="BU26" s="10"/>
      <c r="BV26" s="10"/>
      <c r="BW26" s="11">
        <v>0</v>
      </c>
      <c r="BX26" s="5"/>
      <c r="BY26" s="10"/>
      <c r="BZ26" s="10"/>
      <c r="CA26" s="10"/>
      <c r="CB26" s="10"/>
      <c r="CC26" s="10"/>
      <c r="CD26" s="10"/>
      <c r="CE26" s="10"/>
      <c r="CF26" s="10"/>
      <c r="CG26" s="10"/>
      <c r="CH26" s="11">
        <v>0</v>
      </c>
      <c r="CI26" s="5"/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-2</v>
      </c>
      <c r="CP26" s="5">
        <v>0</v>
      </c>
      <c r="CQ26" s="12">
        <v>1</v>
      </c>
      <c r="CR26" s="5">
        <v>0</v>
      </c>
      <c r="CS26" s="5">
        <v>-1</v>
      </c>
      <c r="CU26" s="10"/>
      <c r="CV26" s="10"/>
      <c r="CW26" s="10"/>
      <c r="CX26" s="10"/>
      <c r="CY26" s="10"/>
      <c r="CZ26" s="10"/>
      <c r="DA26" s="10"/>
      <c r="DB26" s="10"/>
      <c r="DC26" s="10"/>
      <c r="DD26" s="11">
        <v>0</v>
      </c>
      <c r="DE26" s="5"/>
      <c r="DF26" s="10"/>
      <c r="DG26" s="10"/>
      <c r="DH26" s="10"/>
      <c r="DI26" s="10"/>
      <c r="DJ26" s="10"/>
      <c r="DK26" s="10"/>
      <c r="DL26" s="10"/>
      <c r="DM26" s="10"/>
      <c r="DN26" s="10"/>
      <c r="DO26" s="11">
        <v>0</v>
      </c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>
        <v>-1</v>
      </c>
      <c r="EB26" s="10"/>
      <c r="EC26" s="10"/>
      <c r="ED26" s="10"/>
      <c r="EE26" s="10"/>
      <c r="EF26" s="10"/>
      <c r="EG26" s="10"/>
      <c r="EH26" s="10"/>
      <c r="EI26" s="10"/>
      <c r="EJ26" s="10"/>
      <c r="EK26" s="11">
        <v>0</v>
      </c>
      <c r="EL26" s="5"/>
      <c r="EM26" s="10"/>
      <c r="EN26" s="10"/>
      <c r="EO26" s="10"/>
      <c r="EP26" s="10"/>
      <c r="EQ26" s="10"/>
      <c r="ER26" s="10"/>
      <c r="ES26" s="10"/>
      <c r="ET26" s="10"/>
      <c r="EU26" s="10"/>
      <c r="EV26" s="11">
        <v>0</v>
      </c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>
        <v>-1</v>
      </c>
      <c r="FH26" s="25"/>
    </row>
    <row r="27" spans="1:165" ht="16.8" customHeight="1" x14ac:dyDescent="0.25">
      <c r="A27" s="14" t="s">
        <v>51</v>
      </c>
      <c r="B27" s="5">
        <v>306413</v>
      </c>
      <c r="C27" s="5">
        <v>164</v>
      </c>
      <c r="D27" s="5">
        <v>156</v>
      </c>
      <c r="E27" s="5">
        <v>121</v>
      </c>
      <c r="F27" s="5">
        <v>0</v>
      </c>
      <c r="G27" s="5">
        <v>0</v>
      </c>
      <c r="H27" s="5">
        <v>5</v>
      </c>
      <c r="I27" s="5">
        <v>4</v>
      </c>
      <c r="J27" s="5">
        <v>4</v>
      </c>
      <c r="K27" s="5">
        <v>0</v>
      </c>
      <c r="L27" s="5">
        <v>0</v>
      </c>
      <c r="M27" s="7">
        <v>13</v>
      </c>
      <c r="N27" s="5">
        <v>3</v>
      </c>
      <c r="O27" s="5">
        <v>3</v>
      </c>
      <c r="P27" s="5">
        <v>3</v>
      </c>
      <c r="Q27" s="5">
        <v>3</v>
      </c>
      <c r="R27" s="5">
        <v>3</v>
      </c>
      <c r="S27" s="5">
        <v>3</v>
      </c>
      <c r="T27" s="5">
        <v>3</v>
      </c>
      <c r="U27" s="5">
        <v>3</v>
      </c>
      <c r="V27" s="5">
        <v>0</v>
      </c>
      <c r="W27" s="8">
        <v>24</v>
      </c>
      <c r="X27" s="5">
        <v>1</v>
      </c>
      <c r="Y27" s="5">
        <v>1</v>
      </c>
      <c r="Z27" s="5">
        <v>0</v>
      </c>
      <c r="AA27" s="5">
        <v>1</v>
      </c>
      <c r="AB27" s="5">
        <v>0</v>
      </c>
      <c r="AC27" s="5">
        <v>1</v>
      </c>
      <c r="AD27" s="5">
        <v>1</v>
      </c>
      <c r="AE27" s="5">
        <v>1</v>
      </c>
      <c r="AF27" s="5">
        <v>0</v>
      </c>
      <c r="AG27" s="9">
        <v>6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1">
        <v>0</v>
      </c>
      <c r="AR27" s="14" t="s">
        <v>51</v>
      </c>
      <c r="AS27" s="10"/>
      <c r="AT27" s="10"/>
      <c r="AU27" s="10"/>
      <c r="AV27" s="10"/>
      <c r="AW27" s="10"/>
      <c r="AX27" s="10"/>
      <c r="AY27" s="10"/>
      <c r="AZ27" s="10"/>
      <c r="BA27" s="10"/>
      <c r="BB27" s="11">
        <v>0</v>
      </c>
      <c r="BC27" s="12">
        <v>2</v>
      </c>
      <c r="BD27" s="12">
        <v>2</v>
      </c>
      <c r="BE27" s="12">
        <v>3</v>
      </c>
      <c r="BF27" s="12">
        <v>2</v>
      </c>
      <c r="BG27" s="12">
        <v>3</v>
      </c>
      <c r="BH27" s="12">
        <v>2</v>
      </c>
      <c r="BI27" s="12">
        <v>2</v>
      </c>
      <c r="BJ27" s="12">
        <v>2</v>
      </c>
      <c r="BK27" s="5">
        <v>0</v>
      </c>
      <c r="BL27" s="11">
        <v>18</v>
      </c>
      <c r="BM27" s="29"/>
      <c r="BN27" s="10"/>
      <c r="BO27" s="10"/>
      <c r="BP27" s="10"/>
      <c r="BQ27" s="10"/>
      <c r="BR27" s="10"/>
      <c r="BS27" s="10"/>
      <c r="BT27" s="10"/>
      <c r="BU27" s="10"/>
      <c r="BV27" s="10"/>
      <c r="BW27" s="11">
        <v>0</v>
      </c>
      <c r="BX27" s="5"/>
      <c r="BY27" s="10"/>
      <c r="BZ27" s="10"/>
      <c r="CA27" s="10"/>
      <c r="CB27" s="10"/>
      <c r="CC27" s="10"/>
      <c r="CD27" s="10"/>
      <c r="CE27" s="10"/>
      <c r="CF27" s="10"/>
      <c r="CG27" s="10"/>
      <c r="CH27" s="11">
        <v>0</v>
      </c>
      <c r="CI27" s="5"/>
      <c r="CJ27" s="32">
        <f>BC27-2</f>
        <v>0</v>
      </c>
      <c r="CK27" s="12">
        <v>2</v>
      </c>
      <c r="CL27" s="80">
        <f>BE27-1</f>
        <v>2</v>
      </c>
      <c r="CM27" s="80">
        <f>BF27-1</f>
        <v>1</v>
      </c>
      <c r="CN27" s="80">
        <f>BG27-1</f>
        <v>2</v>
      </c>
      <c r="CO27" s="80">
        <f>BH27-1</f>
        <v>1</v>
      </c>
      <c r="CP27" s="80">
        <f>BI27-1</f>
        <v>1</v>
      </c>
      <c r="CQ27" s="12">
        <v>2</v>
      </c>
      <c r="CR27" s="5">
        <v>0</v>
      </c>
      <c r="CS27" s="11">
        <v>11</v>
      </c>
      <c r="CU27" s="10"/>
      <c r="CV27" s="10"/>
      <c r="CW27" s="10"/>
      <c r="CX27" s="10"/>
      <c r="CY27" s="10"/>
      <c r="CZ27" s="10"/>
      <c r="DA27" s="10"/>
      <c r="DB27" s="10"/>
      <c r="DC27" s="10"/>
      <c r="DD27" s="11">
        <v>0</v>
      </c>
      <c r="DE27" s="5"/>
      <c r="DF27" s="10"/>
      <c r="DG27" s="10"/>
      <c r="DH27" s="10"/>
      <c r="DI27" s="10"/>
      <c r="DJ27" s="10"/>
      <c r="DK27" s="10"/>
      <c r="DL27" s="10"/>
      <c r="DM27" s="10"/>
      <c r="DN27" s="10"/>
      <c r="DO27" s="11">
        <v>0</v>
      </c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11">
        <v>11</v>
      </c>
      <c r="EB27" s="10"/>
      <c r="EC27" s="10"/>
      <c r="ED27" s="10"/>
      <c r="EE27" s="10"/>
      <c r="EF27" s="10"/>
      <c r="EG27" s="10"/>
      <c r="EH27" s="10"/>
      <c r="EI27" s="10"/>
      <c r="EJ27" s="10"/>
      <c r="EK27" s="11">
        <v>0</v>
      </c>
      <c r="EL27" s="5"/>
      <c r="EM27" s="10"/>
      <c r="EN27" s="10"/>
      <c r="EO27" s="10"/>
      <c r="EP27" s="10"/>
      <c r="EQ27" s="10"/>
      <c r="ER27" s="10"/>
      <c r="ES27" s="10"/>
      <c r="ET27" s="10"/>
      <c r="EU27" s="10"/>
      <c r="EV27" s="11">
        <v>0</v>
      </c>
      <c r="EW27" s="5"/>
      <c r="EX27" s="5"/>
      <c r="EY27" s="5"/>
      <c r="EZ27" s="32">
        <v>1</v>
      </c>
      <c r="FA27" s="5"/>
      <c r="FB27" s="5"/>
      <c r="FC27" s="5"/>
      <c r="FD27" s="5"/>
      <c r="FE27" s="5"/>
      <c r="FF27" s="5"/>
      <c r="FG27" s="11">
        <v>10</v>
      </c>
      <c r="FH27" s="25"/>
    </row>
    <row r="28" spans="1:165" ht="16.8" customHeight="1" x14ac:dyDescent="0.25">
      <c r="A28" s="6" t="s">
        <v>52</v>
      </c>
      <c r="B28" s="5">
        <v>303189</v>
      </c>
      <c r="C28" s="5">
        <v>298</v>
      </c>
      <c r="D28" s="5">
        <v>284</v>
      </c>
      <c r="E28" s="5">
        <v>272</v>
      </c>
      <c r="F28" s="5">
        <v>290</v>
      </c>
      <c r="G28" s="5">
        <v>0</v>
      </c>
      <c r="H28" s="5">
        <v>8</v>
      </c>
      <c r="I28" s="5">
        <v>8</v>
      </c>
      <c r="J28" s="5">
        <v>7</v>
      </c>
      <c r="K28" s="5">
        <v>8</v>
      </c>
      <c r="L28" s="5">
        <v>0</v>
      </c>
      <c r="M28" s="7">
        <v>31</v>
      </c>
      <c r="N28" s="5">
        <v>6</v>
      </c>
      <c r="O28" s="5">
        <v>6</v>
      </c>
      <c r="P28" s="5">
        <v>6</v>
      </c>
      <c r="Q28" s="5">
        <v>6</v>
      </c>
      <c r="R28" s="5">
        <v>6</v>
      </c>
      <c r="S28" s="5">
        <v>6</v>
      </c>
      <c r="T28" s="5">
        <v>6</v>
      </c>
      <c r="U28" s="5">
        <v>6</v>
      </c>
      <c r="V28" s="5">
        <v>0</v>
      </c>
      <c r="W28" s="8">
        <v>48</v>
      </c>
      <c r="X28" s="5">
        <v>11</v>
      </c>
      <c r="Y28" s="5">
        <v>6</v>
      </c>
      <c r="Z28" s="5">
        <v>8</v>
      </c>
      <c r="AA28" s="5">
        <v>6</v>
      </c>
      <c r="AB28" s="5">
        <v>5</v>
      </c>
      <c r="AC28" s="5">
        <v>10</v>
      </c>
      <c r="AD28" s="5">
        <v>9</v>
      </c>
      <c r="AE28" s="5">
        <v>0</v>
      </c>
      <c r="AF28" s="5">
        <v>0</v>
      </c>
      <c r="AG28" s="9">
        <v>55</v>
      </c>
      <c r="AH28" s="10"/>
      <c r="AI28" s="10"/>
      <c r="AJ28" s="10"/>
      <c r="AK28" s="10"/>
      <c r="AL28" s="10"/>
      <c r="AM28" s="10"/>
      <c r="AN28" s="10"/>
      <c r="AO28" s="10"/>
      <c r="AP28" s="10"/>
      <c r="AQ28" s="11">
        <v>0</v>
      </c>
      <c r="AR28" s="6" t="s">
        <v>52</v>
      </c>
      <c r="AS28" s="10"/>
      <c r="AT28" s="10"/>
      <c r="AU28" s="10"/>
      <c r="AV28" s="10"/>
      <c r="AW28" s="10"/>
      <c r="AX28" s="10"/>
      <c r="AY28" s="10"/>
      <c r="AZ28" s="10"/>
      <c r="BA28" s="10"/>
      <c r="BB28" s="11">
        <v>0</v>
      </c>
      <c r="BC28" s="5">
        <v>-5</v>
      </c>
      <c r="BD28" s="5">
        <v>0</v>
      </c>
      <c r="BE28" s="5">
        <v>-2</v>
      </c>
      <c r="BF28" s="5">
        <v>0</v>
      </c>
      <c r="BG28" s="12">
        <v>1</v>
      </c>
      <c r="BH28" s="5">
        <v>-4</v>
      </c>
      <c r="BI28" s="5">
        <v>-3</v>
      </c>
      <c r="BJ28" s="12">
        <v>6</v>
      </c>
      <c r="BK28" s="5">
        <v>0</v>
      </c>
      <c r="BL28" s="5">
        <v>-7</v>
      </c>
      <c r="BM28" s="29"/>
      <c r="BN28" s="10"/>
      <c r="BO28" s="10"/>
      <c r="BP28" s="10"/>
      <c r="BQ28" s="10"/>
      <c r="BR28" s="10"/>
      <c r="BS28" s="10"/>
      <c r="BT28" s="23">
        <v>4</v>
      </c>
      <c r="BU28" s="10"/>
      <c r="BV28" s="10"/>
      <c r="BW28" s="11">
        <v>4</v>
      </c>
      <c r="BX28" s="5"/>
      <c r="BY28" s="10"/>
      <c r="BZ28" s="10"/>
      <c r="CA28" s="10"/>
      <c r="CB28" s="10"/>
      <c r="CC28" s="10"/>
      <c r="CD28" s="10"/>
      <c r="CE28" s="10"/>
      <c r="CF28" s="10"/>
      <c r="CG28" s="10"/>
      <c r="CH28" s="11">
        <v>0</v>
      </c>
      <c r="CI28" s="5"/>
      <c r="CJ28" s="5">
        <v>-5</v>
      </c>
      <c r="CK28" s="5">
        <v>0</v>
      </c>
      <c r="CL28" s="5">
        <v>-2</v>
      </c>
      <c r="CM28" s="5">
        <v>0</v>
      </c>
      <c r="CN28" s="12">
        <v>1</v>
      </c>
      <c r="CO28" s="5">
        <v>-4</v>
      </c>
      <c r="CP28" s="79">
        <f>BI28+BT28</f>
        <v>1</v>
      </c>
      <c r="CQ28" s="12">
        <v>6</v>
      </c>
      <c r="CR28" s="5">
        <v>0</v>
      </c>
      <c r="CS28" s="5">
        <v>-3</v>
      </c>
      <c r="CU28" s="10"/>
      <c r="CV28" s="10"/>
      <c r="CW28" s="10"/>
      <c r="CX28" s="10"/>
      <c r="CY28" s="10"/>
      <c r="CZ28" s="10"/>
      <c r="DA28" s="10"/>
      <c r="DB28" s="10"/>
      <c r="DC28" s="10"/>
      <c r="DD28" s="11">
        <v>0</v>
      </c>
      <c r="DE28" s="5"/>
      <c r="DF28" s="10"/>
      <c r="DG28" s="10"/>
      <c r="DH28" s="10"/>
      <c r="DI28" s="10"/>
      <c r="DJ28" s="10"/>
      <c r="DK28" s="10"/>
      <c r="DL28" s="10"/>
      <c r="DM28" s="10"/>
      <c r="DN28" s="10"/>
      <c r="DO28" s="11">
        <v>0</v>
      </c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>
        <v>-3</v>
      </c>
      <c r="EB28" s="10"/>
      <c r="EC28" s="10"/>
      <c r="ED28" s="10"/>
      <c r="EE28" s="10"/>
      <c r="EF28" s="10"/>
      <c r="EG28" s="10"/>
      <c r="EH28" s="10"/>
      <c r="EI28" s="10"/>
      <c r="EJ28" s="10"/>
      <c r="EK28" s="11">
        <v>0</v>
      </c>
      <c r="EL28" s="5"/>
      <c r="EM28" s="10"/>
      <c r="EN28" s="10"/>
      <c r="EO28" s="10"/>
      <c r="EP28" s="10"/>
      <c r="EQ28" s="10"/>
      <c r="ER28" s="10"/>
      <c r="ES28" s="10"/>
      <c r="ET28" s="10"/>
      <c r="EU28" s="10"/>
      <c r="EV28" s="11">
        <v>0</v>
      </c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>
        <v>-3</v>
      </c>
      <c r="FH28" s="25"/>
    </row>
    <row r="29" spans="1:165" ht="16.8" customHeight="1" x14ac:dyDescent="0.25">
      <c r="A29" s="6" t="s">
        <v>53</v>
      </c>
      <c r="B29" s="5">
        <v>303183</v>
      </c>
      <c r="C29" s="5">
        <v>60</v>
      </c>
      <c r="D29" s="5">
        <v>57</v>
      </c>
      <c r="E29" s="5">
        <v>37</v>
      </c>
      <c r="F29" s="5">
        <v>53</v>
      </c>
      <c r="G29" s="5">
        <v>0</v>
      </c>
      <c r="H29" s="5">
        <v>2</v>
      </c>
      <c r="I29" s="5">
        <v>2</v>
      </c>
      <c r="J29" s="5">
        <v>1</v>
      </c>
      <c r="K29" s="5">
        <v>2</v>
      </c>
      <c r="L29" s="5">
        <v>0</v>
      </c>
      <c r="M29" s="7">
        <v>7</v>
      </c>
      <c r="N29" s="5">
        <v>2</v>
      </c>
      <c r="O29" s="5">
        <v>2</v>
      </c>
      <c r="P29" s="5">
        <v>2</v>
      </c>
      <c r="Q29" s="5">
        <v>2</v>
      </c>
      <c r="R29" s="5">
        <v>2</v>
      </c>
      <c r="S29" s="5">
        <v>2</v>
      </c>
      <c r="T29" s="5">
        <v>2</v>
      </c>
      <c r="U29" s="5">
        <v>1</v>
      </c>
      <c r="V29" s="5">
        <v>0</v>
      </c>
      <c r="W29" s="8">
        <v>15</v>
      </c>
      <c r="X29" s="5">
        <v>1</v>
      </c>
      <c r="Y29" s="5">
        <v>2</v>
      </c>
      <c r="Z29" s="5">
        <v>2</v>
      </c>
      <c r="AA29" s="5">
        <v>2</v>
      </c>
      <c r="AB29" s="5">
        <v>1</v>
      </c>
      <c r="AC29" s="5">
        <v>2</v>
      </c>
      <c r="AD29" s="5">
        <v>0</v>
      </c>
      <c r="AE29" s="5">
        <v>1</v>
      </c>
      <c r="AF29" s="5">
        <v>0</v>
      </c>
      <c r="AG29" s="9">
        <v>11</v>
      </c>
      <c r="AH29" s="10"/>
      <c r="AI29" s="10"/>
      <c r="AJ29" s="10"/>
      <c r="AK29" s="10"/>
      <c r="AL29" s="10"/>
      <c r="AM29" s="10"/>
      <c r="AN29" s="10"/>
      <c r="AO29" s="10"/>
      <c r="AP29" s="10"/>
      <c r="AQ29" s="11">
        <v>0</v>
      </c>
      <c r="AR29" s="6" t="s">
        <v>53</v>
      </c>
      <c r="AS29" s="10"/>
      <c r="AT29" s="10"/>
      <c r="AU29" s="10"/>
      <c r="AV29" s="10"/>
      <c r="AW29" s="10"/>
      <c r="AX29" s="12">
        <v>1</v>
      </c>
      <c r="AY29" s="10"/>
      <c r="AZ29" s="10"/>
      <c r="BA29" s="10"/>
      <c r="BB29" s="11">
        <v>1</v>
      </c>
      <c r="BC29" s="12">
        <v>1</v>
      </c>
      <c r="BD29" s="5">
        <v>0</v>
      </c>
      <c r="BE29" s="5">
        <v>0</v>
      </c>
      <c r="BF29" s="5">
        <v>0</v>
      </c>
      <c r="BG29" s="12">
        <v>1</v>
      </c>
      <c r="BH29" s="12">
        <v>1</v>
      </c>
      <c r="BI29" s="12">
        <v>2</v>
      </c>
      <c r="BJ29" s="5">
        <v>0</v>
      </c>
      <c r="BK29" s="5">
        <v>0</v>
      </c>
      <c r="BL29" s="11">
        <v>4</v>
      </c>
      <c r="BM29" s="29"/>
      <c r="BN29" s="10"/>
      <c r="BO29" s="10"/>
      <c r="BP29" s="10"/>
      <c r="BQ29" s="10"/>
      <c r="BR29" s="10"/>
      <c r="BS29" s="22">
        <v>1</v>
      </c>
      <c r="BT29" s="10"/>
      <c r="BU29" s="10"/>
      <c r="BV29" s="10"/>
      <c r="BW29" s="11">
        <v>1</v>
      </c>
      <c r="BX29" s="5"/>
      <c r="BY29" s="10"/>
      <c r="BZ29" s="10"/>
      <c r="CA29" s="10"/>
      <c r="CB29" s="10"/>
      <c r="CC29" s="10"/>
      <c r="CD29" s="10"/>
      <c r="CE29" s="10"/>
      <c r="CF29" s="10"/>
      <c r="CG29" s="10"/>
      <c r="CH29" s="11">
        <v>0</v>
      </c>
      <c r="CI29" s="5"/>
      <c r="CJ29" s="12">
        <v>1</v>
      </c>
      <c r="CK29" s="5">
        <v>0</v>
      </c>
      <c r="CL29" s="5">
        <v>0</v>
      </c>
      <c r="CM29" s="5">
        <v>0</v>
      </c>
      <c r="CN29" s="12">
        <v>1</v>
      </c>
      <c r="CO29" s="32">
        <f>BH29-1+1</f>
        <v>1</v>
      </c>
      <c r="CP29" s="12">
        <v>2</v>
      </c>
      <c r="CQ29" s="5">
        <v>0</v>
      </c>
      <c r="CR29" s="5">
        <v>0</v>
      </c>
      <c r="CS29" s="11">
        <v>4</v>
      </c>
      <c r="CU29" s="10"/>
      <c r="CV29" s="10"/>
      <c r="CW29" s="10"/>
      <c r="CX29" s="10"/>
      <c r="CY29" s="10"/>
      <c r="CZ29" s="5"/>
      <c r="DA29" s="10"/>
      <c r="DB29" s="10"/>
      <c r="DC29" s="10"/>
      <c r="DD29" s="11">
        <v>0</v>
      </c>
      <c r="DE29" s="5"/>
      <c r="DF29" s="10"/>
      <c r="DG29" s="10"/>
      <c r="DH29" s="10"/>
      <c r="DI29" s="10"/>
      <c r="DJ29" s="10"/>
      <c r="DK29" s="10"/>
      <c r="DL29" s="10"/>
      <c r="DM29" s="10"/>
      <c r="DN29" s="10"/>
      <c r="DO29" s="11">
        <v>0</v>
      </c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11">
        <v>4</v>
      </c>
      <c r="EB29" s="10"/>
      <c r="EC29" s="10"/>
      <c r="ED29" s="10"/>
      <c r="EE29" s="10"/>
      <c r="EF29" s="10"/>
      <c r="EG29" s="5"/>
      <c r="EH29" s="10"/>
      <c r="EI29" s="10"/>
      <c r="EJ29" s="10"/>
      <c r="EK29" s="11">
        <v>0</v>
      </c>
      <c r="EL29" s="5"/>
      <c r="EM29" s="10"/>
      <c r="EN29" s="10"/>
      <c r="EO29" s="10"/>
      <c r="EP29" s="10"/>
      <c r="EQ29" s="10"/>
      <c r="ER29" s="10"/>
      <c r="ES29" s="10"/>
      <c r="ET29" s="10"/>
      <c r="EU29" s="10"/>
      <c r="EV29" s="11">
        <v>0</v>
      </c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11">
        <v>4</v>
      </c>
      <c r="FH29" s="25"/>
    </row>
    <row r="30" spans="1:165" ht="16.8" customHeight="1" x14ac:dyDescent="0.25">
      <c r="A30" s="6" t="s">
        <v>54</v>
      </c>
      <c r="B30" s="5">
        <v>312704</v>
      </c>
      <c r="C30" s="5">
        <v>197</v>
      </c>
      <c r="D30" s="5">
        <v>188</v>
      </c>
      <c r="E30" s="5">
        <v>190</v>
      </c>
      <c r="F30" s="5">
        <v>105</v>
      </c>
      <c r="G30" s="5">
        <v>0</v>
      </c>
      <c r="H30" s="5">
        <v>5</v>
      </c>
      <c r="I30" s="5">
        <v>5</v>
      </c>
      <c r="J30" s="5">
        <v>5</v>
      </c>
      <c r="K30" s="5">
        <v>3</v>
      </c>
      <c r="L30" s="5">
        <v>0</v>
      </c>
      <c r="M30" s="7">
        <v>18</v>
      </c>
      <c r="N30" s="5">
        <v>3</v>
      </c>
      <c r="O30" s="5">
        <v>3</v>
      </c>
      <c r="P30" s="5">
        <v>3</v>
      </c>
      <c r="Q30" s="5">
        <v>3</v>
      </c>
      <c r="R30" s="5">
        <v>3</v>
      </c>
      <c r="S30" s="5">
        <v>3</v>
      </c>
      <c r="T30" s="5">
        <v>3</v>
      </c>
      <c r="U30" s="5">
        <v>4</v>
      </c>
      <c r="V30" s="5">
        <v>0</v>
      </c>
      <c r="W30" s="8">
        <v>25</v>
      </c>
      <c r="X30" s="5">
        <v>3</v>
      </c>
      <c r="Y30" s="5">
        <v>3</v>
      </c>
      <c r="Z30" s="5">
        <v>3</v>
      </c>
      <c r="AA30" s="5">
        <v>4</v>
      </c>
      <c r="AB30" s="5">
        <v>3</v>
      </c>
      <c r="AC30" s="5">
        <v>4</v>
      </c>
      <c r="AD30" s="5">
        <v>2</v>
      </c>
      <c r="AE30" s="5">
        <v>1</v>
      </c>
      <c r="AF30" s="5">
        <v>0</v>
      </c>
      <c r="AG30" s="9">
        <v>23</v>
      </c>
      <c r="AH30" s="10"/>
      <c r="AI30" s="10"/>
      <c r="AJ30" s="10"/>
      <c r="AK30" s="10"/>
      <c r="AL30" s="10"/>
      <c r="AM30" s="10"/>
      <c r="AN30" s="10"/>
      <c r="AO30" s="10"/>
      <c r="AP30" s="10"/>
      <c r="AQ30" s="11">
        <v>0</v>
      </c>
      <c r="AR30" s="6" t="s">
        <v>54</v>
      </c>
      <c r="AS30" s="10"/>
      <c r="AT30" s="10"/>
      <c r="AU30" s="10"/>
      <c r="AV30" s="10"/>
      <c r="AW30" s="10"/>
      <c r="AX30" s="10"/>
      <c r="AY30" s="10"/>
      <c r="AZ30" s="10"/>
      <c r="BA30" s="10"/>
      <c r="BB30" s="11">
        <v>0</v>
      </c>
      <c r="BC30" s="5">
        <v>0</v>
      </c>
      <c r="BD30" s="5">
        <v>0</v>
      </c>
      <c r="BE30" s="5">
        <v>0</v>
      </c>
      <c r="BF30" s="5">
        <v>-1</v>
      </c>
      <c r="BG30" s="5">
        <v>0</v>
      </c>
      <c r="BH30" s="5">
        <v>-1</v>
      </c>
      <c r="BI30" s="12">
        <v>1</v>
      </c>
      <c r="BJ30" s="12">
        <v>3</v>
      </c>
      <c r="BK30" s="5">
        <v>0</v>
      </c>
      <c r="BL30" s="11">
        <v>2</v>
      </c>
      <c r="BM30" s="29"/>
      <c r="BN30" s="10"/>
      <c r="BO30" s="10"/>
      <c r="BP30" s="10"/>
      <c r="BQ30" s="10"/>
      <c r="BR30" s="10"/>
      <c r="BS30" s="10"/>
      <c r="BT30" s="10"/>
      <c r="BU30" s="10"/>
      <c r="BV30" s="10"/>
      <c r="BW30" s="11">
        <v>0</v>
      </c>
      <c r="BX30" s="5"/>
      <c r="BY30" s="10"/>
      <c r="BZ30" s="10"/>
      <c r="CA30" s="10"/>
      <c r="CB30" s="10"/>
      <c r="CC30" s="10"/>
      <c r="CD30" s="10"/>
      <c r="CE30" s="24">
        <v>1</v>
      </c>
      <c r="CF30" s="10"/>
      <c r="CG30" s="10"/>
      <c r="CH30" s="11">
        <v>1</v>
      </c>
      <c r="CI30" s="5"/>
      <c r="CJ30" s="5">
        <v>0</v>
      </c>
      <c r="CK30" s="32">
        <f>BD30-1</f>
        <v>-1</v>
      </c>
      <c r="CL30" s="5">
        <v>0</v>
      </c>
      <c r="CM30" s="5">
        <v>-1</v>
      </c>
      <c r="CN30" s="5">
        <v>0</v>
      </c>
      <c r="CO30" s="5">
        <v>-1</v>
      </c>
      <c r="CP30" s="5">
        <f>BI30-CE30</f>
        <v>0</v>
      </c>
      <c r="CQ30" s="12">
        <v>3</v>
      </c>
      <c r="CR30" s="5">
        <v>0</v>
      </c>
      <c r="CS30" s="11">
        <v>0</v>
      </c>
      <c r="CU30" s="10"/>
      <c r="CV30" s="10"/>
      <c r="CW30" s="10"/>
      <c r="CX30" s="10"/>
      <c r="CY30" s="10"/>
      <c r="CZ30" s="10"/>
      <c r="DA30" s="10"/>
      <c r="DB30" s="10"/>
      <c r="DC30" s="10"/>
      <c r="DD30" s="11">
        <v>0</v>
      </c>
      <c r="DE30" s="5"/>
      <c r="DF30" s="10"/>
      <c r="DG30" s="10"/>
      <c r="DH30" s="10"/>
      <c r="DI30" s="10"/>
      <c r="DJ30" s="10"/>
      <c r="DK30" s="10"/>
      <c r="DL30" s="10"/>
      <c r="DM30" s="10"/>
      <c r="DN30" s="10"/>
      <c r="DO30" s="11">
        <v>0</v>
      </c>
      <c r="DP30" s="5"/>
      <c r="DQ30" s="5"/>
      <c r="DR30" s="5"/>
      <c r="DS30" s="5"/>
      <c r="DT30" s="5"/>
      <c r="DU30" s="32">
        <v>2</v>
      </c>
      <c r="DV30" s="5"/>
      <c r="DW30" s="5"/>
      <c r="DX30" s="5"/>
      <c r="DY30" s="5"/>
      <c r="DZ30" s="11">
        <v>0</v>
      </c>
      <c r="EB30" s="10"/>
      <c r="EC30" s="10"/>
      <c r="ED30" s="10"/>
      <c r="EE30" s="10"/>
      <c r="EF30" s="10"/>
      <c r="EG30" s="10"/>
      <c r="EH30" s="10"/>
      <c r="EI30" s="10"/>
      <c r="EJ30" s="10"/>
      <c r="EK30" s="11">
        <v>0</v>
      </c>
      <c r="EL30" s="5"/>
      <c r="EM30" s="10"/>
      <c r="EN30" s="10"/>
      <c r="EO30" s="10"/>
      <c r="EP30" s="10"/>
      <c r="EQ30" s="10"/>
      <c r="ER30" s="10"/>
      <c r="ES30" s="10"/>
      <c r="ET30" s="10"/>
      <c r="EU30" s="10"/>
      <c r="EV30" s="11">
        <v>0</v>
      </c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11">
        <v>0</v>
      </c>
      <c r="FH30" s="25"/>
    </row>
    <row r="31" spans="1:165" ht="16.8" customHeight="1" x14ac:dyDescent="0.25">
      <c r="A31" s="6" t="s">
        <v>55</v>
      </c>
      <c r="B31" s="5">
        <v>305692</v>
      </c>
      <c r="C31" s="5">
        <v>63</v>
      </c>
      <c r="D31" s="5">
        <v>60</v>
      </c>
      <c r="E31" s="5">
        <v>70</v>
      </c>
      <c r="F31" s="5">
        <v>47</v>
      </c>
      <c r="G31" s="5">
        <v>0</v>
      </c>
      <c r="H31" s="5">
        <v>2</v>
      </c>
      <c r="I31" s="5">
        <v>2</v>
      </c>
      <c r="J31" s="5">
        <v>2</v>
      </c>
      <c r="K31" s="5">
        <v>2</v>
      </c>
      <c r="L31" s="5">
        <v>0</v>
      </c>
      <c r="M31" s="7">
        <v>8</v>
      </c>
      <c r="N31" s="5">
        <v>2</v>
      </c>
      <c r="O31" s="5">
        <v>2</v>
      </c>
      <c r="P31" s="5">
        <v>2</v>
      </c>
      <c r="Q31" s="5">
        <v>2</v>
      </c>
      <c r="R31" s="5">
        <v>2</v>
      </c>
      <c r="S31" s="5">
        <v>2</v>
      </c>
      <c r="T31" s="5">
        <v>2</v>
      </c>
      <c r="U31" s="5">
        <v>2</v>
      </c>
      <c r="V31" s="5">
        <v>0</v>
      </c>
      <c r="W31" s="8">
        <v>16</v>
      </c>
      <c r="X31" s="5">
        <v>3</v>
      </c>
      <c r="Y31" s="5">
        <v>0</v>
      </c>
      <c r="Z31" s="5">
        <v>1</v>
      </c>
      <c r="AA31" s="5">
        <v>1</v>
      </c>
      <c r="AB31" s="5">
        <v>2</v>
      </c>
      <c r="AC31" s="5">
        <v>2</v>
      </c>
      <c r="AD31" s="5">
        <v>2</v>
      </c>
      <c r="AE31" s="5">
        <v>0</v>
      </c>
      <c r="AF31" s="5">
        <v>0</v>
      </c>
      <c r="AG31" s="9">
        <v>11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1">
        <v>0</v>
      </c>
      <c r="AR31" s="6" t="s">
        <v>55</v>
      </c>
      <c r="AS31" s="10"/>
      <c r="AT31" s="10"/>
      <c r="AU31" s="10"/>
      <c r="AV31" s="10"/>
      <c r="AW31" s="10"/>
      <c r="AX31" s="10"/>
      <c r="AY31" s="10"/>
      <c r="AZ31" s="10"/>
      <c r="BA31" s="10"/>
      <c r="BB31" s="11">
        <v>0</v>
      </c>
      <c r="BC31" s="5">
        <v>-1</v>
      </c>
      <c r="BD31" s="12">
        <v>2</v>
      </c>
      <c r="BE31" s="12">
        <v>1</v>
      </c>
      <c r="BF31" s="12">
        <v>1</v>
      </c>
      <c r="BG31" s="5">
        <v>0</v>
      </c>
      <c r="BH31" s="5">
        <v>0</v>
      </c>
      <c r="BI31" s="5">
        <v>0</v>
      </c>
      <c r="BJ31" s="12">
        <v>2</v>
      </c>
      <c r="BK31" s="5">
        <v>0</v>
      </c>
      <c r="BL31" s="11">
        <v>5</v>
      </c>
      <c r="BM31" s="29"/>
      <c r="BN31" s="10"/>
      <c r="BO31" s="10"/>
      <c r="BP31" s="10"/>
      <c r="BQ31" s="10"/>
      <c r="BR31" s="10"/>
      <c r="BS31" s="10"/>
      <c r="BT31" s="10"/>
      <c r="BU31" s="10"/>
      <c r="BV31" s="10"/>
      <c r="BW31" s="11">
        <v>0</v>
      </c>
      <c r="BX31" s="5"/>
      <c r="BY31" s="10"/>
      <c r="BZ31" s="10"/>
      <c r="CA31" s="10"/>
      <c r="CB31" s="10"/>
      <c r="CC31" s="10"/>
      <c r="CD31" s="10"/>
      <c r="CE31" s="10"/>
      <c r="CF31" s="10"/>
      <c r="CG31" s="10"/>
      <c r="CH31" s="11">
        <v>0</v>
      </c>
      <c r="CI31" s="5"/>
      <c r="CJ31" s="5">
        <v>-1</v>
      </c>
      <c r="CK31" s="12">
        <v>2</v>
      </c>
      <c r="CL31" s="12">
        <v>1</v>
      </c>
      <c r="CM31" s="12">
        <v>1</v>
      </c>
      <c r="CN31" s="5">
        <v>0</v>
      </c>
      <c r="CO31" s="5">
        <v>0</v>
      </c>
      <c r="CP31" s="5">
        <v>0</v>
      </c>
      <c r="CQ31" s="12">
        <v>2</v>
      </c>
      <c r="CR31" s="5">
        <v>0</v>
      </c>
      <c r="CS31" s="11">
        <v>5</v>
      </c>
      <c r="CU31" s="10"/>
      <c r="CV31" s="10"/>
      <c r="CW31" s="10"/>
      <c r="CX31" s="10"/>
      <c r="CY31" s="10"/>
      <c r="CZ31" s="10"/>
      <c r="DA31" s="10"/>
      <c r="DB31" s="10"/>
      <c r="DC31" s="10"/>
      <c r="DD31" s="11">
        <v>0</v>
      </c>
      <c r="DE31" s="5"/>
      <c r="DF31" s="10"/>
      <c r="DG31" s="10"/>
      <c r="DH31" s="10"/>
      <c r="DI31" s="10"/>
      <c r="DJ31" s="10"/>
      <c r="DK31" s="10"/>
      <c r="DL31" s="10"/>
      <c r="DM31" s="10"/>
      <c r="DN31" s="10"/>
      <c r="DO31" s="11">
        <v>0</v>
      </c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11">
        <v>5</v>
      </c>
      <c r="EB31" s="10"/>
      <c r="EC31" s="10"/>
      <c r="ED31" s="10"/>
      <c r="EE31" s="10"/>
      <c r="EF31" s="10"/>
      <c r="EG31" s="10"/>
      <c r="EH31" s="10"/>
      <c r="EI31" s="10"/>
      <c r="EJ31" s="10"/>
      <c r="EK31" s="11">
        <v>0</v>
      </c>
      <c r="EL31" s="5"/>
      <c r="EM31" s="10"/>
      <c r="EN31" s="10"/>
      <c r="EO31" s="10"/>
      <c r="EP31" s="10"/>
      <c r="EQ31" s="10"/>
      <c r="ER31" s="10"/>
      <c r="ES31" s="10"/>
      <c r="ET31" s="10"/>
      <c r="EU31" s="10"/>
      <c r="EV31" s="11">
        <v>0</v>
      </c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11">
        <v>5</v>
      </c>
      <c r="FH31" s="25"/>
    </row>
    <row r="32" spans="1:165" ht="16.8" customHeight="1" x14ac:dyDescent="0.25">
      <c r="A32" s="6" t="s">
        <v>56</v>
      </c>
      <c r="B32" s="5">
        <v>303180</v>
      </c>
      <c r="C32" s="13">
        <v>1845</v>
      </c>
      <c r="D32" s="13">
        <v>1757</v>
      </c>
      <c r="E32" s="13">
        <v>1663</v>
      </c>
      <c r="F32" s="13">
        <v>1294</v>
      </c>
      <c r="G32" s="5">
        <v>0</v>
      </c>
      <c r="H32" s="5">
        <v>47</v>
      </c>
      <c r="I32" s="5">
        <v>44</v>
      </c>
      <c r="J32" s="5">
        <v>42</v>
      </c>
      <c r="K32" s="5">
        <v>33</v>
      </c>
      <c r="L32" s="5">
        <v>0</v>
      </c>
      <c r="M32" s="7">
        <v>166</v>
      </c>
      <c r="N32" s="5">
        <v>28</v>
      </c>
      <c r="O32" s="5">
        <v>28</v>
      </c>
      <c r="P32" s="5">
        <v>28</v>
      </c>
      <c r="Q32" s="5">
        <v>28</v>
      </c>
      <c r="R32" s="5">
        <v>28</v>
      </c>
      <c r="S32" s="5">
        <v>28</v>
      </c>
      <c r="T32" s="5">
        <v>28</v>
      </c>
      <c r="U32" s="5">
        <v>33</v>
      </c>
      <c r="V32" s="5">
        <v>0</v>
      </c>
      <c r="W32" s="8">
        <v>229</v>
      </c>
      <c r="X32" s="5">
        <v>27</v>
      </c>
      <c r="Y32" s="5">
        <v>27</v>
      </c>
      <c r="Z32" s="5">
        <v>29</v>
      </c>
      <c r="AA32" s="5">
        <v>21</v>
      </c>
      <c r="AB32" s="5">
        <v>19</v>
      </c>
      <c r="AC32" s="5">
        <v>65</v>
      </c>
      <c r="AD32" s="5">
        <v>17</v>
      </c>
      <c r="AE32" s="5">
        <v>7</v>
      </c>
      <c r="AF32" s="5">
        <v>0</v>
      </c>
      <c r="AG32" s="9">
        <v>212</v>
      </c>
      <c r="AH32" s="10"/>
      <c r="AI32" s="12">
        <v>1</v>
      </c>
      <c r="AJ32" s="10"/>
      <c r="AK32" s="10"/>
      <c r="AL32" s="10"/>
      <c r="AM32" s="10"/>
      <c r="AN32" s="10"/>
      <c r="AO32" s="10"/>
      <c r="AP32" s="10"/>
      <c r="AQ32" s="11">
        <v>1</v>
      </c>
      <c r="AR32" s="6" t="s">
        <v>56</v>
      </c>
      <c r="AS32" s="10"/>
      <c r="AT32" s="10"/>
      <c r="AU32" s="10"/>
      <c r="AV32" s="10"/>
      <c r="AW32" s="10"/>
      <c r="AX32" s="10"/>
      <c r="AY32" s="10"/>
      <c r="AZ32" s="10"/>
      <c r="BA32" s="10"/>
      <c r="BB32" s="11">
        <v>0</v>
      </c>
      <c r="BC32" s="12">
        <v>1</v>
      </c>
      <c r="BD32" s="5">
        <v>0</v>
      </c>
      <c r="BE32" s="5">
        <v>-1</v>
      </c>
      <c r="BF32" s="12">
        <v>7</v>
      </c>
      <c r="BG32" s="12">
        <v>9</v>
      </c>
      <c r="BH32" s="5">
        <v>-37</v>
      </c>
      <c r="BI32" s="12">
        <v>11</v>
      </c>
      <c r="BJ32" s="12">
        <v>26</v>
      </c>
      <c r="BK32" s="5">
        <v>0</v>
      </c>
      <c r="BL32" s="11">
        <v>17</v>
      </c>
      <c r="BM32" s="29"/>
      <c r="BN32" s="10"/>
      <c r="BO32" s="10"/>
      <c r="BP32" s="10"/>
      <c r="BQ32" s="10"/>
      <c r="BR32" s="10"/>
      <c r="BS32" s="10"/>
      <c r="BT32" s="10"/>
      <c r="BU32" s="10"/>
      <c r="BV32" s="10"/>
      <c r="BW32" s="11">
        <v>0</v>
      </c>
      <c r="BX32" s="5"/>
      <c r="BY32" s="10"/>
      <c r="BZ32" s="5"/>
      <c r="CA32" s="10"/>
      <c r="CB32" s="10"/>
      <c r="CC32" s="10"/>
      <c r="CD32" s="10"/>
      <c r="CE32" s="10"/>
      <c r="CF32" s="10"/>
      <c r="CG32" s="10"/>
      <c r="CH32" s="11">
        <v>0</v>
      </c>
      <c r="CI32" s="5"/>
      <c r="CJ32" s="32">
        <f>BC32-CJ35</f>
        <v>-1</v>
      </c>
      <c r="CK32" s="32">
        <f>BD32-CK35</f>
        <v>-1</v>
      </c>
      <c r="CL32" s="80">
        <f>BE32-CL35</f>
        <v>-4</v>
      </c>
      <c r="CM32" s="80">
        <f>BF32-CM35</f>
        <v>3</v>
      </c>
      <c r="CN32" s="80">
        <f>BG32-CN35</f>
        <v>6</v>
      </c>
      <c r="CO32" s="32">
        <f>BH32-CO35</f>
        <v>-39</v>
      </c>
      <c r="CP32" s="80">
        <f>BI32-CP35</f>
        <v>8</v>
      </c>
      <c r="CQ32" s="12">
        <v>26</v>
      </c>
      <c r="CR32" s="5">
        <v>0</v>
      </c>
      <c r="CS32" s="11">
        <v>-1</v>
      </c>
      <c r="CU32" s="10"/>
      <c r="CV32" s="10"/>
      <c r="CW32" s="10"/>
      <c r="CX32" s="10"/>
      <c r="CY32" s="10"/>
      <c r="CZ32" s="10"/>
      <c r="DA32" s="10"/>
      <c r="DB32" s="10"/>
      <c r="DC32" s="10"/>
      <c r="DD32" s="11">
        <v>0</v>
      </c>
      <c r="DE32" s="5"/>
      <c r="DF32" s="10"/>
      <c r="DG32" s="30">
        <v>1</v>
      </c>
      <c r="DH32" s="10"/>
      <c r="DI32" s="10"/>
      <c r="DJ32" s="10"/>
      <c r="DK32" s="10"/>
      <c r="DL32" s="10"/>
      <c r="DM32" s="10"/>
      <c r="DN32" s="10"/>
      <c r="DO32" s="11">
        <v>1</v>
      </c>
      <c r="DP32" s="5"/>
      <c r="DQ32" s="5"/>
      <c r="DR32" s="5"/>
      <c r="DS32" s="5"/>
      <c r="DT32" s="5"/>
      <c r="DU32" s="32">
        <v>1</v>
      </c>
      <c r="DV32" s="5"/>
      <c r="DW32" s="32">
        <v>1</v>
      </c>
      <c r="DX32" s="5"/>
      <c r="DY32" s="5"/>
      <c r="DZ32" s="11">
        <v>-2</v>
      </c>
      <c r="EB32" s="10"/>
      <c r="EC32" s="10"/>
      <c r="ED32" s="10"/>
      <c r="EE32" s="10"/>
      <c r="EF32" s="10"/>
      <c r="EG32" s="10"/>
      <c r="EH32" s="10"/>
      <c r="EI32" s="10"/>
      <c r="EJ32" s="10"/>
      <c r="EK32" s="11">
        <v>0</v>
      </c>
      <c r="EL32" s="5"/>
      <c r="EM32" s="10"/>
      <c r="EN32" s="5"/>
      <c r="EO32" s="10"/>
      <c r="EP32" s="10"/>
      <c r="EQ32" s="10"/>
      <c r="ER32" s="10"/>
      <c r="ES32" s="10"/>
      <c r="ET32" s="10"/>
      <c r="EU32" s="10"/>
      <c r="EV32" s="11">
        <v>0</v>
      </c>
      <c r="EW32" s="5"/>
      <c r="EX32" s="5"/>
      <c r="EY32" s="5"/>
      <c r="EZ32" s="5"/>
      <c r="FA32" s="5"/>
      <c r="FB32" s="32">
        <v>1</v>
      </c>
      <c r="FC32" s="5"/>
      <c r="FD32" s="5"/>
      <c r="FE32" s="5"/>
      <c r="FF32" s="5"/>
      <c r="FG32" s="11">
        <v>-3</v>
      </c>
      <c r="FH32" s="25"/>
    </row>
    <row r="33" spans="55:162" ht="16.8" customHeight="1" x14ac:dyDescent="0.25">
      <c r="BC33" s="43" t="s">
        <v>12</v>
      </c>
      <c r="BD33" s="43" t="s">
        <v>13</v>
      </c>
      <c r="BE33" s="43" t="s">
        <v>14</v>
      </c>
      <c r="BF33" s="43" t="s">
        <v>15</v>
      </c>
      <c r="BG33" s="43" t="s">
        <v>22</v>
      </c>
      <c r="BH33" s="43" t="s">
        <v>17</v>
      </c>
      <c r="BI33" s="43" t="s">
        <v>18</v>
      </c>
      <c r="BJ33" s="43" t="s">
        <v>19</v>
      </c>
      <c r="BK33" s="43" t="s">
        <v>20</v>
      </c>
      <c r="BN33" s="43" t="s">
        <v>12</v>
      </c>
      <c r="BO33" s="43" t="s">
        <v>13</v>
      </c>
      <c r="BP33" s="43" t="s">
        <v>14</v>
      </c>
      <c r="BQ33" s="43" t="s">
        <v>15</v>
      </c>
      <c r="BR33" s="43" t="s">
        <v>22</v>
      </c>
      <c r="BS33" s="43" t="s">
        <v>17</v>
      </c>
      <c r="BT33" s="43" t="s">
        <v>18</v>
      </c>
      <c r="BU33" s="43" t="s">
        <v>19</v>
      </c>
      <c r="BV33" s="43" t="s">
        <v>20</v>
      </c>
      <c r="BY33" s="43" t="s">
        <v>12</v>
      </c>
      <c r="BZ33" s="43" t="s">
        <v>13</v>
      </c>
      <c r="CA33" s="43" t="s">
        <v>14</v>
      </c>
      <c r="CB33" s="43" t="s">
        <v>15</v>
      </c>
      <c r="CC33" s="43" t="s">
        <v>22</v>
      </c>
      <c r="CD33" s="43" t="s">
        <v>17</v>
      </c>
      <c r="CE33" s="43" t="s">
        <v>18</v>
      </c>
      <c r="CF33" s="43" t="s">
        <v>19</v>
      </c>
      <c r="CG33" s="43" t="s">
        <v>20</v>
      </c>
      <c r="CJ33" s="43" t="s">
        <v>12</v>
      </c>
      <c r="CK33" s="43" t="s">
        <v>13</v>
      </c>
      <c r="CL33" s="43" t="s">
        <v>14</v>
      </c>
      <c r="CM33" s="43" t="s">
        <v>15</v>
      </c>
      <c r="CN33" s="43" t="s">
        <v>22</v>
      </c>
      <c r="CO33" s="43" t="s">
        <v>17</v>
      </c>
      <c r="CP33" s="43" t="s">
        <v>18</v>
      </c>
      <c r="CQ33" s="43" t="s">
        <v>19</v>
      </c>
      <c r="CR33" s="43" t="s">
        <v>20</v>
      </c>
      <c r="CU33" s="43" t="s">
        <v>12</v>
      </c>
      <c r="CV33" s="43" t="s">
        <v>13</v>
      </c>
      <c r="CW33" s="43" t="s">
        <v>14</v>
      </c>
      <c r="CX33" s="43" t="s">
        <v>15</v>
      </c>
      <c r="CY33" s="43" t="s">
        <v>22</v>
      </c>
      <c r="CZ33" s="43" t="s">
        <v>17</v>
      </c>
      <c r="DA33" s="43" t="s">
        <v>18</v>
      </c>
      <c r="DB33" s="43" t="s">
        <v>19</v>
      </c>
      <c r="DC33" s="43" t="s">
        <v>20</v>
      </c>
      <c r="DF33" s="43" t="s">
        <v>12</v>
      </c>
      <c r="DG33" s="43" t="s">
        <v>13</v>
      </c>
      <c r="DH33" s="43" t="s">
        <v>14</v>
      </c>
      <c r="DI33" s="43" t="s">
        <v>15</v>
      </c>
      <c r="DJ33" s="43" t="s">
        <v>22</v>
      </c>
      <c r="DK33" s="43" t="s">
        <v>17</v>
      </c>
      <c r="DL33" s="43" t="s">
        <v>18</v>
      </c>
      <c r="DM33" s="43" t="s">
        <v>19</v>
      </c>
      <c r="DN33" s="43" t="s">
        <v>20</v>
      </c>
      <c r="DQ33" s="43" t="s">
        <v>12</v>
      </c>
      <c r="DR33" s="43" t="s">
        <v>13</v>
      </c>
      <c r="DS33" s="43" t="s">
        <v>14</v>
      </c>
      <c r="DT33" s="43" t="s">
        <v>15</v>
      </c>
      <c r="DU33" s="43" t="s">
        <v>22</v>
      </c>
      <c r="DV33" s="43" t="s">
        <v>17</v>
      </c>
      <c r="DW33" s="43" t="s">
        <v>18</v>
      </c>
      <c r="DX33" s="43" t="s">
        <v>19</v>
      </c>
      <c r="DY33" s="43" t="s">
        <v>20</v>
      </c>
      <c r="EB33" s="43" t="s">
        <v>12</v>
      </c>
      <c r="EC33" s="43" t="s">
        <v>13</v>
      </c>
      <c r="ED33" s="43" t="s">
        <v>14</v>
      </c>
      <c r="EE33" s="43" t="s">
        <v>15</v>
      </c>
      <c r="EF33" s="43" t="s">
        <v>22</v>
      </c>
      <c r="EG33" s="43" t="s">
        <v>17</v>
      </c>
      <c r="EH33" s="43" t="s">
        <v>18</v>
      </c>
      <c r="EI33" s="43" t="s">
        <v>19</v>
      </c>
      <c r="EJ33" s="43" t="s">
        <v>20</v>
      </c>
      <c r="EM33" s="43" t="s">
        <v>12</v>
      </c>
      <c r="EN33" s="43" t="s">
        <v>13</v>
      </c>
      <c r="EO33" s="43" t="s">
        <v>14</v>
      </c>
      <c r="EP33" s="43" t="s">
        <v>15</v>
      </c>
      <c r="EQ33" s="43" t="s">
        <v>22</v>
      </c>
      <c r="ER33" s="43" t="s">
        <v>17</v>
      </c>
      <c r="ES33" s="43" t="s">
        <v>18</v>
      </c>
      <c r="ET33" s="43" t="s">
        <v>19</v>
      </c>
      <c r="EU33" s="43" t="s">
        <v>20</v>
      </c>
      <c r="EX33" s="43" t="s">
        <v>12</v>
      </c>
      <c r="EY33" s="43" t="s">
        <v>13</v>
      </c>
      <c r="EZ33" s="43" t="s">
        <v>14</v>
      </c>
      <c r="FA33" s="43" t="s">
        <v>15</v>
      </c>
      <c r="FB33" s="43" t="s">
        <v>22</v>
      </c>
      <c r="FC33" s="43" t="s">
        <v>17</v>
      </c>
      <c r="FD33" s="43" t="s">
        <v>18</v>
      </c>
      <c r="FE33" s="43" t="s">
        <v>19</v>
      </c>
      <c r="FF33" s="43" t="s">
        <v>20</v>
      </c>
    </row>
    <row r="34" spans="55:162" ht="16.2" customHeight="1" x14ac:dyDescent="0.25">
      <c r="BC34" s="34"/>
      <c r="BD34" s="34"/>
      <c r="BE34" s="34"/>
      <c r="BF34" s="34"/>
      <c r="BG34" s="34"/>
      <c r="BH34" s="34"/>
      <c r="BI34" s="34"/>
      <c r="BJ34" s="34"/>
      <c r="BK34" s="34"/>
      <c r="BN34" s="34"/>
      <c r="BO34" s="34"/>
      <c r="BP34" s="34"/>
      <c r="BQ34" s="34"/>
      <c r="BR34" s="34"/>
      <c r="BS34" s="34"/>
      <c r="BT34" s="34"/>
      <c r="BU34" s="34"/>
      <c r="BV34" s="34"/>
      <c r="BY34" s="34"/>
      <c r="BZ34" s="34"/>
      <c r="CA34" s="34"/>
      <c r="CB34" s="34"/>
      <c r="CC34" s="34"/>
      <c r="CD34" s="34"/>
      <c r="CE34" s="34"/>
      <c r="CF34" s="34"/>
      <c r="CG34" s="34"/>
      <c r="CJ34" s="34"/>
      <c r="CK34" s="34"/>
      <c r="CL34" s="34"/>
      <c r="CM34" s="34"/>
      <c r="CN34" s="34"/>
      <c r="CO34" s="34"/>
      <c r="CP34" s="34"/>
      <c r="CQ34" s="34"/>
      <c r="CR34" s="34"/>
      <c r="CU34" s="34"/>
      <c r="CV34" s="34"/>
      <c r="CW34" s="34"/>
      <c r="CX34" s="34"/>
      <c r="CY34" s="34"/>
      <c r="CZ34" s="34"/>
      <c r="DA34" s="34"/>
      <c r="DB34" s="34"/>
      <c r="DC34" s="34"/>
      <c r="DF34" s="34"/>
      <c r="DG34" s="34"/>
      <c r="DH34" s="34"/>
      <c r="DI34" s="34"/>
      <c r="DJ34" s="34"/>
      <c r="DK34" s="34"/>
      <c r="DL34" s="34"/>
      <c r="DM34" s="34"/>
      <c r="DN34" s="34"/>
      <c r="DQ34" s="34"/>
      <c r="DR34" s="34"/>
      <c r="DS34" s="34"/>
      <c r="DT34" s="34"/>
      <c r="DU34" s="34"/>
      <c r="DV34" s="34"/>
      <c r="DW34" s="34"/>
      <c r="DX34" s="34"/>
      <c r="DY34" s="34"/>
      <c r="EB34" s="34"/>
      <c r="EC34" s="34"/>
      <c r="ED34" s="34"/>
      <c r="EE34" s="34"/>
      <c r="EF34" s="34"/>
      <c r="EG34" s="34"/>
      <c r="EH34" s="34"/>
      <c r="EI34" s="34"/>
      <c r="EJ34" s="34"/>
      <c r="EM34" s="34"/>
      <c r="EN34" s="34"/>
      <c r="EO34" s="34"/>
      <c r="EP34" s="34"/>
      <c r="EQ34" s="34"/>
      <c r="ER34" s="34"/>
      <c r="ES34" s="34"/>
      <c r="ET34" s="34"/>
      <c r="EU34" s="34"/>
      <c r="EX34" s="34"/>
      <c r="EY34" s="34"/>
      <c r="EZ34" s="34"/>
      <c r="FA34" s="34"/>
      <c r="FB34" s="34"/>
      <c r="FC34" s="34"/>
      <c r="FD34" s="34"/>
      <c r="FE34" s="34"/>
      <c r="FF34" s="34"/>
    </row>
    <row r="35" spans="55:162" x14ac:dyDescent="0.25">
      <c r="CJ35" s="32">
        <v>2</v>
      </c>
      <c r="CK35" s="32">
        <v>1</v>
      </c>
      <c r="CL35" s="32">
        <v>3</v>
      </c>
      <c r="CM35" s="32">
        <v>4</v>
      </c>
      <c r="CN35" s="32">
        <v>3</v>
      </c>
      <c r="CO35" s="32">
        <v>2</v>
      </c>
      <c r="CP35" s="32">
        <v>3</v>
      </c>
    </row>
  </sheetData>
  <mergeCells count="249">
    <mergeCell ref="EX33:EX34"/>
    <mergeCell ref="EY33:EY34"/>
    <mergeCell ref="EZ33:EZ34"/>
    <mergeCell ref="FA33:FA34"/>
    <mergeCell ref="FB33:FB34"/>
    <mergeCell ref="FC33:FC34"/>
    <mergeCell ref="FD33:FD34"/>
    <mergeCell ref="FE33:FE34"/>
    <mergeCell ref="FF33:FF34"/>
    <mergeCell ref="EM33:EM34"/>
    <mergeCell ref="EN33:EN34"/>
    <mergeCell ref="EO33:EO34"/>
    <mergeCell ref="EP33:EP34"/>
    <mergeCell ref="EQ33:EQ34"/>
    <mergeCell ref="ER33:ER34"/>
    <mergeCell ref="ES33:ES34"/>
    <mergeCell ref="ET33:ET34"/>
    <mergeCell ref="EU33:EU34"/>
    <mergeCell ref="EB33:EB34"/>
    <mergeCell ref="EC33:EC34"/>
    <mergeCell ref="ED33:ED34"/>
    <mergeCell ref="EE33:EE34"/>
    <mergeCell ref="EF33:EF34"/>
    <mergeCell ref="EG33:EG34"/>
    <mergeCell ref="EH33:EH34"/>
    <mergeCell ref="EI33:EI34"/>
    <mergeCell ref="EJ33:EJ34"/>
    <mergeCell ref="DQ33:DQ34"/>
    <mergeCell ref="DR33:DR34"/>
    <mergeCell ref="DS33:DS34"/>
    <mergeCell ref="DT33:DT34"/>
    <mergeCell ref="DU33:DU34"/>
    <mergeCell ref="DV33:DV34"/>
    <mergeCell ref="DW33:DW34"/>
    <mergeCell ref="DX33:DX34"/>
    <mergeCell ref="DY33:DY34"/>
    <mergeCell ref="DF33:DF34"/>
    <mergeCell ref="DG33:DG34"/>
    <mergeCell ref="DH33:DH34"/>
    <mergeCell ref="DI33:DI34"/>
    <mergeCell ref="DJ33:DJ34"/>
    <mergeCell ref="DK33:DK34"/>
    <mergeCell ref="DL33:DL34"/>
    <mergeCell ref="DM33:DM34"/>
    <mergeCell ref="DN33:DN34"/>
    <mergeCell ref="CU33:CU34"/>
    <mergeCell ref="CV33:CV34"/>
    <mergeCell ref="CW33:CW34"/>
    <mergeCell ref="CX33:CX34"/>
    <mergeCell ref="CY33:CY34"/>
    <mergeCell ref="CZ33:CZ34"/>
    <mergeCell ref="DA33:DA34"/>
    <mergeCell ref="DB33:DB34"/>
    <mergeCell ref="DC33:DC34"/>
    <mergeCell ref="CJ33:CJ34"/>
    <mergeCell ref="CK33:CK34"/>
    <mergeCell ref="CL33:CL34"/>
    <mergeCell ref="CM33:CM34"/>
    <mergeCell ref="CN33:CN34"/>
    <mergeCell ref="CO33:CO34"/>
    <mergeCell ref="CP33:CP34"/>
    <mergeCell ref="CQ33:CQ34"/>
    <mergeCell ref="CR33:CR34"/>
    <mergeCell ref="BY33:BY34"/>
    <mergeCell ref="BZ33:BZ34"/>
    <mergeCell ref="CA33:CA34"/>
    <mergeCell ref="CB33:CB34"/>
    <mergeCell ref="CC33:CC34"/>
    <mergeCell ref="CD33:CD34"/>
    <mergeCell ref="CE33:CE34"/>
    <mergeCell ref="CF33:CF34"/>
    <mergeCell ref="CG33:CG34"/>
    <mergeCell ref="BN33:BN34"/>
    <mergeCell ref="BO33:BO34"/>
    <mergeCell ref="BP33:BP34"/>
    <mergeCell ref="BQ33:BQ34"/>
    <mergeCell ref="BR33:BR34"/>
    <mergeCell ref="BS33:BS34"/>
    <mergeCell ref="BT33:BT34"/>
    <mergeCell ref="BU33:BU34"/>
    <mergeCell ref="BV33:BV34"/>
    <mergeCell ref="BC33:BC34"/>
    <mergeCell ref="BD33:BD34"/>
    <mergeCell ref="BE33:BE34"/>
    <mergeCell ref="BF33:BF34"/>
    <mergeCell ref="BG33:BG34"/>
    <mergeCell ref="BH33:BH34"/>
    <mergeCell ref="BI33:BI34"/>
    <mergeCell ref="BJ33:BJ34"/>
    <mergeCell ref="BK33:BK34"/>
    <mergeCell ref="BA4:BA5"/>
    <mergeCell ref="BB4:BB5"/>
    <mergeCell ref="BC4:BC5"/>
    <mergeCell ref="BI4:BI5"/>
    <mergeCell ref="BJ4:BJ5"/>
    <mergeCell ref="BK4:BK5"/>
    <mergeCell ref="BL4:BL5"/>
    <mergeCell ref="BD4:BD5"/>
    <mergeCell ref="BE4:BE5"/>
    <mergeCell ref="BF4:BF5"/>
    <mergeCell ref="BG4:BG5"/>
    <mergeCell ref="BH4:BH5"/>
    <mergeCell ref="AQ4:AQ5"/>
    <mergeCell ref="AS4:AS5"/>
    <mergeCell ref="AT4:AT5"/>
    <mergeCell ref="AU4:AU5"/>
    <mergeCell ref="AV4:AV5"/>
    <mergeCell ref="AW4:AW5"/>
    <mergeCell ref="AX4:AX5"/>
    <mergeCell ref="AY4:AY5"/>
    <mergeCell ref="AZ4:AZ5"/>
    <mergeCell ref="X3:AG3"/>
    <mergeCell ref="AH3:AQ3"/>
    <mergeCell ref="AR3:AR5"/>
    <mergeCell ref="AS3:BB3"/>
    <mergeCell ref="BC3:BL3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B3:B5"/>
    <mergeCell ref="A3:A5"/>
    <mergeCell ref="C3:G4"/>
    <mergeCell ref="H3:M4"/>
    <mergeCell ref="N3:W3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BN3:BW3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CJ3:CS3"/>
    <mergeCell ref="BY3:CH3"/>
    <mergeCell ref="BY4:BY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DI4:DI5"/>
    <mergeCell ref="DJ4:DJ5"/>
    <mergeCell ref="DK4:DK5"/>
    <mergeCell ref="DL4:DL5"/>
    <mergeCell ref="DM4:DM5"/>
    <mergeCell ref="CU3:DD3"/>
    <mergeCell ref="DF3:DO3"/>
    <mergeCell ref="DQ3:DZ3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F4:DF5"/>
    <mergeCell ref="DG4:DG5"/>
    <mergeCell ref="DH4:DH5"/>
    <mergeCell ref="DT4:DT5"/>
    <mergeCell ref="DU4:DU5"/>
    <mergeCell ref="DV4:DV5"/>
    <mergeCell ref="DW4:DW5"/>
    <mergeCell ref="DX4:DX5"/>
    <mergeCell ref="DN4:DN5"/>
    <mergeCell ref="DO4:DO5"/>
    <mergeCell ref="DQ4:DQ5"/>
    <mergeCell ref="DR4:DR5"/>
    <mergeCell ref="DS4:DS5"/>
    <mergeCell ref="DY4:DY5"/>
    <mergeCell ref="DZ4:DZ5"/>
    <mergeCell ref="EB3:EK3"/>
    <mergeCell ref="EM3:EV3"/>
    <mergeCell ref="EX3:FG3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M4:EM5"/>
    <mergeCell ref="ES4:ES5"/>
    <mergeCell ref="ET4:ET5"/>
    <mergeCell ref="EU4:EU5"/>
    <mergeCell ref="EV4:EV5"/>
    <mergeCell ref="EX4:EX5"/>
    <mergeCell ref="EN4:EN5"/>
    <mergeCell ref="EO4:EO5"/>
    <mergeCell ref="EP4:EP5"/>
    <mergeCell ref="EQ4:EQ5"/>
    <mergeCell ref="ER4:ER5"/>
    <mergeCell ref="FD4:FD5"/>
    <mergeCell ref="FE4:FE5"/>
    <mergeCell ref="FF4:FF5"/>
    <mergeCell ref="FG4:FG5"/>
    <mergeCell ref="EY4:EY5"/>
    <mergeCell ref="EZ4:EZ5"/>
    <mergeCell ref="FA4:FA5"/>
    <mergeCell ref="FB4:FB5"/>
    <mergeCell ref="FC4:F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 VELOS</dc:creator>
  <cp:lastModifiedBy>MARITES LIMPANGOG</cp:lastModifiedBy>
  <dcterms:created xsi:type="dcterms:W3CDTF">2026-10-14T01:26:42Z</dcterms:created>
  <dcterms:modified xsi:type="dcterms:W3CDTF">2026-10-27T06:39:20Z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2026-05-27T00:00:00Z</vt:filetime>
  </property>
  <property fmtid="{D5CDD505-2E9C-101B-9397-08002B2CF9AE}" pid="4" name="Creator">
    <vt:lpwstr>Acrobat PDFMaker 26 for Excel</vt:lpwstr>
  </property>
  <property fmtid="{D5CDD505-2E9C-101B-9397-08002B2CF9AE}" pid="5" name="LastSaved">
    <vt:filetime>2026-10-14T00:00:00Z</vt:filetime>
  </property>
  <property fmtid="{D5CDD505-2E9C-101B-9397-08002B2CF9AE}" pid="6" name="Producer">
    <vt:lpwstr>Adobe PDF Library 26.1.59</vt:lpwstr>
  </property>
</Properties>
</file>